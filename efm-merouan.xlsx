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urances_Auto" sheetId="1" r:id="rId4"/>
    <sheet state="visible" name="frontend" sheetId="2" r:id="rId5"/>
    <sheet state="visible" name="data ressours" sheetId="3" r:id="rId6"/>
  </sheets>
  <definedNames>
    <definedName hidden="1" localSheetId="0" name="_xlnm._FilterDatabase">Assurances_Auto!$A$1:$S$41</definedName>
  </definedNames>
  <calcPr/>
  <pivotCaches>
    <pivotCache cacheId="0" r:id="rId7"/>
  </pivotCaches>
</workbook>
</file>

<file path=xl/sharedStrings.xml><?xml version="1.0" encoding="utf-8"?>
<sst xmlns="http://schemas.openxmlformats.org/spreadsheetml/2006/main" count="390" uniqueCount="170">
  <si>
    <t>ID_Client</t>
  </si>
  <si>
    <t>Nom</t>
  </si>
  <si>
    <t>Prénom</t>
  </si>
  <si>
    <t>CIN</t>
  </si>
  <si>
    <t>Ville</t>
  </si>
  <si>
    <t>Type_Vehicule</t>
  </si>
  <si>
    <t>Marque</t>
  </si>
  <si>
    <t>Année_Vehicule</t>
  </si>
  <si>
    <t>Valeur_Vehicule</t>
  </si>
  <si>
    <t>Type_Assurance</t>
  </si>
  <si>
    <t>Date_Souscription</t>
  </si>
  <si>
    <t>Durée</t>
  </si>
  <si>
    <t>Prime_Base</t>
  </si>
  <si>
    <t>Taux_Risque</t>
  </si>
  <si>
    <t>Montant_Risque</t>
  </si>
  <si>
    <t>Prime_Totale</t>
  </si>
  <si>
    <t>Statut_Client</t>
  </si>
  <si>
    <t>Classement</t>
  </si>
  <si>
    <t>Nom_Complet</t>
  </si>
  <si>
    <t>El Amrani</t>
  </si>
  <si>
    <t>Youssef</t>
  </si>
  <si>
    <t>AB00001</t>
  </si>
  <si>
    <t>Ouarzazate</t>
  </si>
  <si>
    <t>Moto</t>
  </si>
  <si>
    <t>Renault</t>
  </si>
  <si>
    <t>Tiers+</t>
  </si>
  <si>
    <t>Tous Risques</t>
  </si>
  <si>
    <t>Ait Lahcen</t>
  </si>
  <si>
    <t>Fatima</t>
  </si>
  <si>
    <t>AB00002</t>
  </si>
  <si>
    <t>Camion</t>
  </si>
  <si>
    <t>Toyota</t>
  </si>
  <si>
    <t>nomber Voiture</t>
  </si>
  <si>
    <t>Benali</t>
  </si>
  <si>
    <t>Ahmed</t>
  </si>
  <si>
    <t>AB00003</t>
  </si>
  <si>
    <t>Marrakech</t>
  </si>
  <si>
    <t>Voiture</t>
  </si>
  <si>
    <t>Hyundai</t>
  </si>
  <si>
    <t>Tiers</t>
  </si>
  <si>
    <t>El Idrissi</t>
  </si>
  <si>
    <t>Salma</t>
  </si>
  <si>
    <t>AB00004</t>
  </si>
  <si>
    <t>Rabat</t>
  </si>
  <si>
    <t>Ford</t>
  </si>
  <si>
    <t>ouarzazate</t>
  </si>
  <si>
    <t>Chraibi</t>
  </si>
  <si>
    <t>Mohamed</t>
  </si>
  <si>
    <t>AB00005</t>
  </si>
  <si>
    <t>Casablanca</t>
  </si>
  <si>
    <t>Peugeot</t>
  </si>
  <si>
    <t>Tahiri</t>
  </si>
  <si>
    <t>Khadija</t>
  </si>
  <si>
    <t>AB00006</t>
  </si>
  <si>
    <t>Agadir</t>
  </si>
  <si>
    <t>Dacia</t>
  </si>
  <si>
    <t>Bennani</t>
  </si>
  <si>
    <t>Omar</t>
  </si>
  <si>
    <t>AB00007</t>
  </si>
  <si>
    <t>El Fassi</t>
  </si>
  <si>
    <t>Imane</t>
  </si>
  <si>
    <t>AB00008</t>
  </si>
  <si>
    <t>Fes</t>
  </si>
  <si>
    <t>Alaoui</t>
  </si>
  <si>
    <t>Hassan</t>
  </si>
  <si>
    <t>AB00009</t>
  </si>
  <si>
    <t>nomber de client</t>
  </si>
  <si>
    <t>Zerouali</t>
  </si>
  <si>
    <t>Nadia</t>
  </si>
  <si>
    <t>AB00010</t>
  </si>
  <si>
    <t>nom de client</t>
  </si>
  <si>
    <t>Skalli</t>
  </si>
  <si>
    <t>Abdelilah</t>
  </si>
  <si>
    <t>AB00011</t>
  </si>
  <si>
    <t>Total</t>
  </si>
  <si>
    <t>Raji</t>
  </si>
  <si>
    <t>Siham</t>
  </si>
  <si>
    <t>AB00012</t>
  </si>
  <si>
    <t>Ouahbi</t>
  </si>
  <si>
    <t>Anas</t>
  </si>
  <si>
    <t>AB00013</t>
  </si>
  <si>
    <t>Amine</t>
  </si>
  <si>
    <t>Soukaina</t>
  </si>
  <si>
    <t>AB00014</t>
  </si>
  <si>
    <t>Mouline</t>
  </si>
  <si>
    <t>Rachid</t>
  </si>
  <si>
    <t>AB00015</t>
  </si>
  <si>
    <t>Lahlou</t>
  </si>
  <si>
    <t>Sara</t>
  </si>
  <si>
    <t>AB00016</t>
  </si>
  <si>
    <t>Kabbaj</t>
  </si>
  <si>
    <t>Yassine</t>
  </si>
  <si>
    <t>AB00017</t>
  </si>
  <si>
    <t>Bouzidi</t>
  </si>
  <si>
    <t>Amina</t>
  </si>
  <si>
    <t>AB00018</t>
  </si>
  <si>
    <t>El Mansouri</t>
  </si>
  <si>
    <t>Karim</t>
  </si>
  <si>
    <t>AB00019</t>
  </si>
  <si>
    <t>Haddad</t>
  </si>
  <si>
    <t>Latifa</t>
  </si>
  <si>
    <t>AB00020</t>
  </si>
  <si>
    <t>Berrada</t>
  </si>
  <si>
    <t>Ayoub</t>
  </si>
  <si>
    <t>AB00021</t>
  </si>
  <si>
    <t>Sbaai</t>
  </si>
  <si>
    <t>Hanane</t>
  </si>
  <si>
    <t>AB00022</t>
  </si>
  <si>
    <t>Ghazali</t>
  </si>
  <si>
    <t>Mehdi</t>
  </si>
  <si>
    <t>AB00023</t>
  </si>
  <si>
    <t>Benkirane</t>
  </si>
  <si>
    <t>Samir</t>
  </si>
  <si>
    <t>AB00024</t>
  </si>
  <si>
    <t>El Khatib</t>
  </si>
  <si>
    <t>Meriem</t>
  </si>
  <si>
    <t>AB00025</t>
  </si>
  <si>
    <t>Azizi</t>
  </si>
  <si>
    <t>Hamza</t>
  </si>
  <si>
    <t>AB00026</t>
  </si>
  <si>
    <t>Raiss</t>
  </si>
  <si>
    <t>Nour</t>
  </si>
  <si>
    <t>AB00027</t>
  </si>
  <si>
    <t>Fadili</t>
  </si>
  <si>
    <t>Abdelkader</t>
  </si>
  <si>
    <t>AB00028</t>
  </si>
  <si>
    <t>Kouhen</t>
  </si>
  <si>
    <t>Lina</t>
  </si>
  <si>
    <t>AB00029</t>
  </si>
  <si>
    <t>Smires</t>
  </si>
  <si>
    <t>Younes</t>
  </si>
  <si>
    <t>AB00030</t>
  </si>
  <si>
    <t>Bounou</t>
  </si>
  <si>
    <t>Ikram</t>
  </si>
  <si>
    <t>AB00031</t>
  </si>
  <si>
    <t>El Hachimi</t>
  </si>
  <si>
    <t>Said</t>
  </si>
  <si>
    <t>AB00032</t>
  </si>
  <si>
    <t>Zayani</t>
  </si>
  <si>
    <t>Rania</t>
  </si>
  <si>
    <t>AB00033</t>
  </si>
  <si>
    <t>Belaid</t>
  </si>
  <si>
    <t>Yassir</t>
  </si>
  <si>
    <t>AB00034</t>
  </si>
  <si>
    <t>Ouhmid</t>
  </si>
  <si>
    <t>Malika</t>
  </si>
  <si>
    <t>AB00035</t>
  </si>
  <si>
    <t>Hami</t>
  </si>
  <si>
    <t>Reda</t>
  </si>
  <si>
    <t>AB00036</t>
  </si>
  <si>
    <t>El Mouden</t>
  </si>
  <si>
    <t>Jamal</t>
  </si>
  <si>
    <t>AB00037</t>
  </si>
  <si>
    <t>Karrouchi</t>
  </si>
  <si>
    <t>Ilham</t>
  </si>
  <si>
    <t>AB00038</t>
  </si>
  <si>
    <t>Benchekroun</t>
  </si>
  <si>
    <t>Adil</t>
  </si>
  <si>
    <t>AB00039</t>
  </si>
  <si>
    <t>Ait Brahim</t>
  </si>
  <si>
    <t>Naima</t>
  </si>
  <si>
    <t>AB00040</t>
  </si>
  <si>
    <t>Total des Primes par Type d'Assurance (DH)</t>
  </si>
  <si>
    <t>AVERAGE of Prime_Totale</t>
  </si>
  <si>
    <t>Total général</t>
  </si>
  <si>
    <t>COUNTA of ID_Client</t>
  </si>
  <si>
    <t>Premium</t>
  </si>
  <si>
    <t>VIP</t>
  </si>
  <si>
    <t>SUM of Prime_Totale</t>
  </si>
  <si>
    <t>Rang (Top 5 Clients par Prime Totale)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</si>
</sst>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DB3E2"/>
        <bgColor rgb="FF8DB3E2"/>
      </patternFill>
    </fill>
    <fill>
      <patternFill patternType="solid">
        <fgColor theme="9"/>
        <bgColor theme="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left"/>
    </xf>
    <xf borderId="2" fillId="2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left"/>
    </xf>
    <xf borderId="1" fillId="0" fontId="2" numFmtId="164" xfId="0" applyAlignment="1" applyBorder="1" applyFont="1" applyNumberFormat="1">
      <alignment horizontal="center"/>
    </xf>
    <xf borderId="3" fillId="0" fontId="2" numFmtId="0" xfId="0" applyAlignment="1" applyBorder="1" applyFont="1">
      <alignment horizontal="center"/>
    </xf>
    <xf borderId="1" fillId="0" fontId="2" numFmtId="0" xfId="0" applyBorder="1" applyFont="1"/>
    <xf borderId="1" fillId="3" fontId="2" numFmtId="0" xfId="0" applyBorder="1" applyFill="1" applyFont="1"/>
    <xf borderId="0" fillId="0" fontId="2" numFmtId="0" xfId="0" applyFont="1"/>
    <xf borderId="0" fillId="0" fontId="2" numFmtId="0" xfId="0" applyAlignment="1" applyFont="1">
      <alignment horizontal="left"/>
    </xf>
    <xf borderId="1" fillId="2" fontId="1" numFmtId="0" xfId="0" applyBorder="1" applyFont="1"/>
    <xf borderId="1" fillId="0" fontId="2" numFmtId="164" xfId="0" applyBorder="1" applyFont="1" applyNumberFormat="1"/>
    <xf borderId="0" fillId="0" fontId="2" numFmtId="0" xfId="0" applyAlignment="1" applyFont="1">
      <alignment horizontal="right"/>
    </xf>
    <xf borderId="1" fillId="3" fontId="2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Assurances_Auto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Assurances_Auto!$A$1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Assurances_Auto!$A$2:$A$40</c:f>
              <c:numCache/>
            </c:numRef>
          </c:val>
        </c:ser>
        <c:ser>
          <c:idx val="1"/>
          <c:order val="1"/>
          <c:tx>
            <c:strRef>
              <c:f>Assurances_Auto!$B$1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Assurances_Auto!$B$2:$B$40</c:f>
              <c:numCache/>
            </c:numRef>
          </c:val>
        </c:ser>
        <c:ser>
          <c:idx val="2"/>
          <c:order val="2"/>
          <c:tx>
            <c:strRef>
              <c:f>Assurances_Auto!$C$1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Assurances_Auto!$C$2:$C$40</c:f>
              <c:numCache/>
            </c:numRef>
          </c:val>
        </c:ser>
        <c:ser>
          <c:idx val="3"/>
          <c:order val="3"/>
          <c:tx>
            <c:strRef>
              <c:f>Assurances_Auto!$D$1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val>
            <c:numRef>
              <c:f>Assurances_Auto!$D$2:$D$40</c:f>
              <c:numCache/>
            </c:numRef>
          </c:val>
        </c:ser>
        <c:ser>
          <c:idx val="4"/>
          <c:order val="4"/>
          <c:tx>
            <c:strRef>
              <c:f>Assurances_Auto!$E$1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val>
            <c:numRef>
              <c:f>Assurances_Auto!$E$2:$E$40</c:f>
              <c:numCache/>
            </c:numRef>
          </c:val>
        </c:ser>
        <c:ser>
          <c:idx val="5"/>
          <c:order val="5"/>
          <c:tx>
            <c:strRef>
              <c:f>Assurances_Auto!$F$1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val>
            <c:numRef>
              <c:f>Assurances_Auto!$F$2:$F$40</c:f>
              <c:numCache/>
            </c:numRef>
          </c:val>
        </c:ser>
        <c:ser>
          <c:idx val="6"/>
          <c:order val="6"/>
          <c:tx>
            <c:strRef>
              <c:f>Assurances_Auto!$G$1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Assurances_Auto!$G$2:$G$40</c:f>
              <c:numCache/>
            </c:numRef>
          </c:val>
        </c:ser>
        <c:ser>
          <c:idx val="7"/>
          <c:order val="7"/>
          <c:tx>
            <c:strRef>
              <c:f>Assurances_Auto!$H$1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Assurances_Auto!$H$2:$H$40</c:f>
              <c:numCache/>
            </c:numRef>
          </c:val>
        </c:ser>
        <c:ser>
          <c:idx val="8"/>
          <c:order val="8"/>
          <c:tx>
            <c:strRef>
              <c:f>Assurances_Auto!$I$1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Assurances_Auto!$I$2:$I$40</c:f>
              <c:numCache/>
            </c:numRef>
          </c:val>
        </c:ser>
        <c:ser>
          <c:idx val="9"/>
          <c:order val="9"/>
          <c:tx>
            <c:strRef>
              <c:f>Assurances_Auto!$J$1</c:f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Assurances_Auto!$J$2:$J$40</c:f>
              <c:numCache/>
            </c:numRef>
          </c:val>
        </c:ser>
        <c:ser>
          <c:idx val="10"/>
          <c:order val="10"/>
          <c:tx>
            <c:strRef>
              <c:f>Assurances_Auto!$K$1</c:f>
            </c:strRef>
          </c:tx>
          <c:val>
            <c:numRef>
              <c:f>Assurances_Auto!$K$2:$K$40</c:f>
              <c:numCache/>
            </c:numRef>
          </c:val>
        </c:ser>
        <c:ser>
          <c:idx val="11"/>
          <c:order val="11"/>
          <c:tx>
            <c:strRef>
              <c:f>Assurances_Auto!$L$1</c:f>
            </c:strRef>
          </c:tx>
          <c:val>
            <c:numRef>
              <c:f>Assurances_Auto!$L$2:$L$40</c:f>
              <c:numCache/>
            </c:numRef>
          </c:val>
        </c:ser>
        <c:ser>
          <c:idx val="12"/>
          <c:order val="12"/>
          <c:tx>
            <c:strRef>
              <c:f>Assurances_Auto!$M$1</c:f>
            </c:strRef>
          </c:tx>
          <c:val>
            <c:numRef>
              <c:f>Assurances_Auto!$M$2:$M$40</c:f>
              <c:numCache/>
            </c:numRef>
          </c:val>
        </c:ser>
        <c:ser>
          <c:idx val="13"/>
          <c:order val="13"/>
          <c:tx>
            <c:strRef>
              <c:f>Assurances_Auto!$N$1</c:f>
            </c:strRef>
          </c:tx>
          <c:val>
            <c:numRef>
              <c:f>Assurances_Auto!$N$2:$N$40</c:f>
              <c:numCache/>
            </c:numRef>
          </c:val>
        </c:ser>
        <c:ser>
          <c:idx val="14"/>
          <c:order val="14"/>
          <c:tx>
            <c:strRef>
              <c:f>Assurances_Auto!$O$1</c:f>
            </c:strRef>
          </c:tx>
          <c:val>
            <c:numRef>
              <c:f>Assurances_Auto!$O$2:$O$40</c:f>
              <c:numCache/>
            </c:numRef>
          </c:val>
        </c:ser>
        <c:ser>
          <c:idx val="15"/>
          <c:order val="15"/>
          <c:tx>
            <c:strRef>
              <c:f>Assurances_Auto!$P$1</c:f>
            </c:strRef>
          </c:tx>
          <c:val>
            <c:numRef>
              <c:f>Assurances_Auto!$P$2:$P$40</c:f>
              <c:numCache/>
            </c:numRef>
          </c:val>
        </c:ser>
        <c:ser>
          <c:idx val="16"/>
          <c:order val="16"/>
          <c:tx>
            <c:strRef>
              <c:f>Assurances_Auto!$Q$1</c:f>
            </c:strRef>
          </c:tx>
          <c:val>
            <c:numRef>
              <c:f>Assurances_Auto!$Q$2:$Q$40</c:f>
              <c:numCache/>
            </c:numRef>
          </c:val>
        </c:ser>
        <c:ser>
          <c:idx val="17"/>
          <c:order val="17"/>
          <c:tx>
            <c:strRef>
              <c:f>Assurances_Auto!$R$1</c:f>
            </c:strRef>
          </c:tx>
          <c:val>
            <c:numRef>
              <c:f>Assurances_Auto!$R$2:$R$40</c:f>
              <c:numCache/>
            </c:numRef>
          </c:val>
        </c:ser>
        <c:ser>
          <c:idx val="18"/>
          <c:order val="18"/>
          <c:tx>
            <c:strRef>
              <c:f>Assurances_Auto!$S$1</c:f>
            </c:strRef>
          </c:tx>
          <c:val>
            <c:numRef>
              <c:f>Assurances_Auto!$S$2:$S$40</c:f>
              <c:numCache/>
            </c:numRef>
          </c:val>
        </c:ser>
        <c:axId val="1624515458"/>
        <c:axId val="2138056747"/>
      </c:barChart>
      <c:catAx>
        <c:axId val="16245154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8056747"/>
      </c:catAx>
      <c:valAx>
        <c:axId val="21380567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45154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des Primes par Type d'Assurance (DH)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'data ressours'!$B$1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'data ressours'!$A$2:$A$5</c:f>
            </c:strRef>
          </c:cat>
          <c:val>
            <c:numRef>
              <c:f>'data ressours'!$B$2:$B$5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Prime_Totale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'data ressours'!$H$3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'data ressours'!$G$4:$G$7</c:f>
            </c:strRef>
          </c:cat>
          <c:val>
            <c:numRef>
              <c:f>'data ressours'!$H$4:$H$7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ID_Client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'data ressours'!$B$20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Pt>
            <c:idx val="6"/>
            <c:spPr>
              <a:solidFill>
                <a:srgbClr val="84A7D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'data ressours'!$A$21:$A$27</c:f>
            </c:strRef>
          </c:cat>
          <c:val>
            <c:numRef>
              <c:f>'data ressours'!$B$21:$B$27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ID_Client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'data ressours'!$H$20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'data ressours'!$G$21:$G$23</c:f>
            </c:strRef>
          </c:cat>
          <c:val>
            <c:numRef>
              <c:f>'data ressours'!$H$21:$H$23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Prime_Totale par rapport à Date_Souscription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'data ressours'!$B$40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'data ressours'!$A$41:$A$69</c:f>
            </c:strRef>
          </c:cat>
          <c:val>
            <c:numRef>
              <c:f>'data ressours'!$B$41:$B$69</c:f>
              <c:numCache/>
            </c:numRef>
          </c:val>
          <c:smooth val="0"/>
        </c:ser>
        <c:axId val="739588763"/>
        <c:axId val="2061390400"/>
      </c:lineChart>
      <c:catAx>
        <c:axId val="7395887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Date_Souscription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1390400"/>
      </c:catAx>
      <c:valAx>
        <c:axId val="20613904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Prime_Totale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95887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38100</xdr:rowOff>
    </xdr:from>
    <xdr:ext cx="5715000" cy="3533775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276225</xdr:colOff>
      <xdr:row>0</xdr:row>
      <xdr:rowOff>38100</xdr:rowOff>
    </xdr:from>
    <xdr:ext cx="5715000" cy="3533775"/>
    <xdr:graphicFrame>
      <xdr:nvGraphicFramePr>
        <xdr:cNvPr id="2" name="Chart 2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428625</xdr:colOff>
      <xdr:row>0</xdr:row>
      <xdr:rowOff>38100</xdr:rowOff>
    </xdr:from>
    <xdr:ext cx="5715000" cy="3533775"/>
    <xdr:graphicFrame>
      <xdr:nvGraphicFramePr>
        <xdr:cNvPr id="3" name="Chart 3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19</xdr:row>
      <xdr:rowOff>28575</xdr:rowOff>
    </xdr:from>
    <xdr:ext cx="5715000" cy="3533775"/>
    <xdr:graphicFrame>
      <xdr:nvGraphicFramePr>
        <xdr:cNvPr id="4" name="Chart 4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276225</xdr:colOff>
      <xdr:row>19</xdr:row>
      <xdr:rowOff>28575</xdr:rowOff>
    </xdr:from>
    <xdr:ext cx="5715000" cy="3533775"/>
    <xdr:graphicFrame>
      <xdr:nvGraphicFramePr>
        <xdr:cNvPr id="5" name="Chart 5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12</xdr:col>
      <xdr:colOff>428625</xdr:colOff>
      <xdr:row>19</xdr:row>
      <xdr:rowOff>28575</xdr:rowOff>
    </xdr:from>
    <xdr:ext cx="5715000" cy="3533775"/>
    <xdr:graphicFrame>
      <xdr:nvGraphicFramePr>
        <xdr:cNvPr id="6" name="Chart 6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R41" sheet="Assurances_Auto"/>
  </cacheSource>
  <cacheFields>
    <cacheField name="ID_Client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</sharedItems>
    </cacheField>
    <cacheField name="Nom" numFmtId="0">
      <sharedItems>
        <s v="El Amrani"/>
        <s v="Ait Lahcen"/>
        <s v="Benali"/>
        <s v="El Idrissi"/>
        <s v="Chraibi"/>
        <s v="Tahiri"/>
        <s v="Bennani"/>
        <s v="El Fassi"/>
        <s v="Alaoui"/>
        <s v="Zerouali"/>
        <s v="Skalli"/>
        <s v="Raji"/>
        <s v="Ouahbi"/>
        <s v="Amine"/>
        <s v="Mouline"/>
        <s v="Lahlou"/>
        <s v="Kabbaj"/>
        <s v="Bouzidi"/>
        <s v="El Mansouri"/>
        <s v="Haddad"/>
        <s v="Berrada"/>
        <s v="Sbaai"/>
        <s v="Ghazali"/>
        <s v="Benkirane"/>
        <s v="El Khatib"/>
        <s v="Azizi"/>
        <s v="Raiss"/>
        <s v="Fadili"/>
        <s v="Kouhen"/>
        <s v="Smires"/>
        <s v="Bounou"/>
        <s v="El Hachimi"/>
        <s v="Zayani"/>
        <s v="Belaid"/>
        <s v="Ouhmid"/>
        <s v="Hami"/>
        <s v="El Mouden"/>
        <s v="Karrouchi"/>
        <s v="Benchekroun"/>
        <s v="Ait Brahim"/>
      </sharedItems>
    </cacheField>
    <cacheField name="Prénom" numFmtId="0">
      <sharedItems>
        <s v="Youssef"/>
        <s v="Fatima"/>
        <s v="Ahmed"/>
        <s v="Salma"/>
        <s v="Mohamed"/>
        <s v="Khadija"/>
        <s v="Omar"/>
        <s v="Imane"/>
        <s v="Hassan"/>
        <s v="Nadia"/>
        <s v="Abdelilah"/>
        <s v="Siham"/>
        <s v="Anas"/>
        <s v="Soukaina"/>
        <s v="Rachid"/>
        <s v="Sara"/>
        <s v="Yassine"/>
        <s v="Amina"/>
        <s v="Karim"/>
        <s v="Latifa"/>
        <s v="Ayoub"/>
        <s v="Hanane"/>
        <s v="Mehdi"/>
        <s v="Samir"/>
        <s v="Meriem"/>
        <s v="Hamza"/>
        <s v="Nour"/>
        <s v="Abdelkader"/>
        <s v="Lina"/>
        <s v="Younes"/>
        <s v="Ikram"/>
        <s v="Said"/>
        <s v="Rania"/>
        <s v="Yassir"/>
        <s v="Malika"/>
        <s v="Reda"/>
        <s v="Jamal"/>
        <s v="Ilham"/>
        <s v="Adil"/>
        <s v="Naima"/>
      </sharedItems>
    </cacheField>
    <cacheField name="CIN" numFmtId="0">
      <sharedItems>
        <s v="AB00001"/>
        <s v="AB00002"/>
        <s v="AB00003"/>
        <s v="AB00004"/>
        <s v="AB00005"/>
        <s v="AB00006"/>
        <s v="AB00007"/>
        <s v="AB00008"/>
        <s v="AB00009"/>
        <s v="AB00010"/>
        <s v="AB00011"/>
        <s v="AB00012"/>
        <s v="AB00013"/>
        <s v="AB00014"/>
        <s v="AB00015"/>
        <s v="AB00016"/>
        <s v="AB00017"/>
        <s v="AB00018"/>
        <s v="AB00019"/>
        <s v="AB00020"/>
        <s v="AB00021"/>
        <s v="AB00022"/>
        <s v="AB00023"/>
        <s v="AB00024"/>
        <s v="AB00025"/>
        <s v="AB00026"/>
        <s v="AB00027"/>
        <s v="AB00028"/>
        <s v="AB00029"/>
        <s v="AB00030"/>
        <s v="AB00031"/>
        <s v="AB00032"/>
        <s v="AB00033"/>
        <s v="AB00034"/>
        <s v="AB00035"/>
        <s v="AB00036"/>
        <s v="AB00037"/>
        <s v="AB00038"/>
        <s v="AB00039"/>
        <s v="AB00040"/>
      </sharedItems>
    </cacheField>
    <cacheField name="Ville" numFmtId="0">
      <sharedItems>
        <s v="Ouarzazate"/>
        <s v="Marrakech"/>
        <s v="Rabat"/>
        <s v="Casablanca"/>
        <s v="Agadir"/>
        <s v="Fes"/>
      </sharedItems>
    </cacheField>
    <cacheField name="Type_Vehicule" numFmtId="0">
      <sharedItems>
        <s v="Moto"/>
        <s v="Camion"/>
        <s v="Voiture"/>
      </sharedItems>
    </cacheField>
    <cacheField name="Marque" numFmtId="0">
      <sharedItems>
        <s v="Renault"/>
        <s v="Toyota"/>
        <s v="Hyundai"/>
        <s v="Ford"/>
        <s v="Peugeot"/>
        <s v="Dacia"/>
      </sharedItems>
    </cacheField>
    <cacheField name="Année_Vehicule" numFmtId="0">
      <sharedItems containsSemiMixedTypes="0" containsString="0" containsNumber="1" containsInteger="1"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10.0"/>
      </sharedItems>
    </cacheField>
    <cacheField name="Valeur_Vehicule" numFmtId="0">
      <sharedItems containsSemiMixedTypes="0" containsString="0" containsNumber="1" containsInteger="1">
        <n v="93000.0"/>
        <n v="96000.0"/>
        <n v="99000.0"/>
        <n v="102000.0"/>
        <n v="105000.0"/>
        <n v="108000.0"/>
        <n v="111000.0"/>
        <n v="114000.0"/>
        <n v="117000.0"/>
        <n v="120000.0"/>
        <n v="123000.0"/>
        <n v="126000.0"/>
        <n v="129000.0"/>
        <n v="132000.0"/>
        <n v="135000.0"/>
        <n v="138000.0"/>
        <n v="141000.0"/>
        <n v="144000.0"/>
        <n v="147000.0"/>
        <n v="150000.0"/>
        <n v="153000.0"/>
        <n v="156000.0"/>
        <n v="159000.0"/>
        <n v="162000.0"/>
        <n v="165000.0"/>
        <n v="168000.0"/>
        <n v="171000.0"/>
        <n v="174000.0"/>
        <n v="177000.0"/>
        <n v="180000.0"/>
        <n v="183000.0"/>
        <n v="186000.0"/>
        <n v="189000.0"/>
        <n v="192000.0"/>
        <n v="195000.0"/>
        <n v="198000.0"/>
        <n v="201000.0"/>
        <n v="204000.0"/>
        <n v="207000.0"/>
        <n v="210000.0"/>
      </sharedItems>
    </cacheField>
    <cacheField name="Type_Assurance" numFmtId="0">
      <sharedItems>
        <s v="Tiers+"/>
        <s v="Tous Risques"/>
        <s v="Tiers"/>
      </sharedItems>
    </cacheField>
    <cacheField name="Date_Souscription" numFmtId="164">
      <sharedItems containsSemiMixedTypes="0" containsDate="1" containsString="0">
        <d v="2025-01-02T00:00:00Z"/>
        <d v="2025-01-03T00:00:00Z"/>
        <d v="2025-01-04T00:00:00Z"/>
        <d v="2025-01-05T00:00:00Z"/>
        <d v="2025-01-06T00:00:00Z"/>
        <d v="2025-01-07T00:00:00Z"/>
        <d v="2025-01-08T00:00:00Z"/>
        <d v="2025-01-09T00:00:00Z"/>
        <d v="2025-01-10T00:00:00Z"/>
        <d v="2025-01-11T00:00:00Z"/>
        <d v="2025-01-12T00:00:00Z"/>
        <d v="2025-01-13T00:00:00Z"/>
        <d v="2025-01-14T00:00:00Z"/>
        <d v="2025-01-15T00:00:00Z"/>
        <d v="2025-01-16T00:00:00Z"/>
        <d v="2025-01-17T00:00:00Z"/>
        <d v="2025-01-18T00:00:00Z"/>
        <d v="2025-01-19T00:00:00Z"/>
        <d v="2025-01-20T00:00:00Z"/>
        <d v="2025-01-21T00:00:00Z"/>
        <d v="2025-01-22T00:00:00Z"/>
        <d v="2025-01-23T00:00:00Z"/>
        <d v="2025-01-24T00:00:00Z"/>
        <d v="2025-01-25T00:00:00Z"/>
        <d v="2025-01-26T00:00:00Z"/>
        <d v="2025-01-27T00:00:00Z"/>
        <d v="2025-01-28T00:00:00Z"/>
        <d v="2025-01-01T00:00:00Z"/>
      </sharedItems>
    </cacheField>
    <cacheField name="Durée" numFmtId="0">
      <sharedItems containsSemiMixedTypes="0" containsString="0" containsNumber="1" containsInteger="1">
        <n v="12.0"/>
      </sharedItems>
    </cacheField>
    <cacheField name="Prime_Base" numFmtId="0">
      <sharedItems containsSemiMixedTypes="0" containsString="0" containsNumber="1" containsInteger="1">
        <n v="1560.0"/>
        <n v="1620.0"/>
        <n v="1680.0"/>
        <n v="1740.0"/>
        <n v="1800.0"/>
        <n v="1860.0"/>
        <n v="1920.0"/>
        <n v="1980.0"/>
        <n v="2040.0"/>
        <n v="2100.0"/>
        <n v="2160.0"/>
        <n v="2220.0"/>
        <n v="2280.0"/>
        <n v="2340.0"/>
        <n v="2400.0"/>
        <n v="2460.0"/>
        <n v="2520.0"/>
        <n v="2580.0"/>
        <n v="2640.0"/>
        <n v="2700.0"/>
        <n v="2760.0"/>
        <n v="2820.0"/>
        <n v="2880.0"/>
        <n v="2940.0"/>
        <n v="3000.0"/>
        <n v="3060.0"/>
        <n v="3120.0"/>
        <n v="3180.0"/>
        <n v="3240.0"/>
        <n v="3300.0"/>
        <n v="3360.0"/>
        <n v="3420.0"/>
        <n v="3480.0"/>
        <n v="3540.0"/>
        <n v="3600.0"/>
        <n v="3660.0"/>
        <n v="3720.0"/>
        <n v="3780.0"/>
        <n v="3840.0"/>
        <n v="3900.0"/>
      </sharedItems>
    </cacheField>
    <cacheField name="Taux_Risque" numFmtId="0">
      <sharedItems containsSemiMixedTypes="0" containsString="0" containsNumber="1">
        <n v="0.05"/>
        <n v="0.06"/>
        <n v="0.03"/>
      </sharedItems>
    </cacheField>
    <cacheField name="Montant_Risque" numFmtId="0">
      <sharedItems containsSemiMixedTypes="0" containsString="0" containsNumber="1" containsInteger="1">
        <n v="4650.0"/>
        <n v="5760.0"/>
        <n v="2970.0"/>
        <n v="5100.0"/>
        <n v="6300.0"/>
        <n v="3240.0"/>
        <n v="5550.0"/>
        <n v="6840.0"/>
        <n v="3510.0"/>
        <n v="6000.0"/>
        <n v="7380.0"/>
        <n v="3780.0"/>
        <n v="6450.0"/>
        <n v="7920.0"/>
        <n v="4050.0"/>
        <n v="6900.0"/>
        <n v="8460.0"/>
        <n v="4320.0"/>
        <n v="7350.0"/>
        <n v="9000.0"/>
        <n v="4590.0"/>
        <n v="7800.0"/>
        <n v="9540.0"/>
        <n v="4860.0"/>
        <n v="8250.0"/>
        <n v="10080.0"/>
        <n v="5130.0"/>
        <n v="8700.0"/>
        <n v="10620.0"/>
        <n v="5400.0"/>
        <n v="9150.0"/>
        <n v="11160.0"/>
        <n v="5670.0"/>
        <n v="9600.0"/>
        <n v="11700.0"/>
        <n v="5940.0"/>
        <n v="10050.0"/>
        <n v="12240.0"/>
        <n v="6210.0"/>
        <n v="10500.0"/>
      </sharedItems>
    </cacheField>
    <cacheField name="Prime_Totale" numFmtId="0">
      <sharedItems containsSemiMixedTypes="0" containsString="0" containsNumber="1" containsInteger="1">
        <n v="6210.0"/>
        <n v="7380.0"/>
        <n v="4650.0"/>
        <n v="6840.0"/>
        <n v="8100.0"/>
        <n v="5100.0"/>
        <n v="7470.0"/>
        <n v="8820.0"/>
        <n v="5550.0"/>
        <n v="9540.0"/>
        <n v="6000.0"/>
        <n v="8730.0"/>
        <n v="10260.0"/>
        <n v="6450.0"/>
        <n v="9360.0"/>
        <n v="10980.0"/>
        <n v="6900.0"/>
        <n v="9990.0"/>
        <n v="11700.0"/>
        <n v="7350.0"/>
        <n v="10620.0"/>
        <n v="12420.0"/>
        <n v="7800.0"/>
        <n v="11250.0"/>
        <n v="13140.0"/>
        <n v="8250.0"/>
        <n v="11880.0"/>
        <n v="13860.0"/>
        <n v="8700.0"/>
        <n v="12510.0"/>
        <n v="14580.0"/>
        <n v="9150.0"/>
        <n v="15300.0"/>
        <n v="9600.0"/>
        <n v="13770.0"/>
        <n v="16020.0"/>
        <n v="10050.0"/>
        <n v="14400.0"/>
      </sharedItems>
    </cacheField>
    <cacheField name="Statut_Client" numFmtId="0">
      <sharedItems>
        <s v="VIP"/>
        <s v="Premium"/>
      </sharedItems>
    </cacheField>
    <cacheField name="Classement" numFmtId="0">
      <sharedItems containsSemiMixedTypes="0" containsString="0" containsNumber="1" containsInteger="1">
        <n v="36.0"/>
        <n v="31.0"/>
        <n v="40.0"/>
        <n v="34.0"/>
        <n v="27.0"/>
        <n v="39.0"/>
        <n v="30.0"/>
        <n v="23.0"/>
        <n v="38.0"/>
        <n v="20.0"/>
        <n v="37.0"/>
        <n v="24.0"/>
        <n v="16.0"/>
        <n v="35.0"/>
        <n v="21.0"/>
        <n v="14.0"/>
        <n v="33.0"/>
        <n v="18.0"/>
        <n v="12.0"/>
        <n v="32.0"/>
        <n v="15.0"/>
        <n v="10.0"/>
        <n v="29.0"/>
        <n v="13.0"/>
        <n v="7.0"/>
        <n v="26.0"/>
        <n v="11.0"/>
        <n v="5.0"/>
        <n v="25.0"/>
        <n v="9.0"/>
        <n v="3.0"/>
        <n v="22.0"/>
        <n v="2.0"/>
        <n v="19.0"/>
        <n v="6.0"/>
        <n v="1.0"/>
        <n v="17.0"/>
        <n v="4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ata ressours" cacheId="0" dataCaption="" compact="0" compactData="0">
  <location ref="A1:B5" firstHeaderRow="0" firstDataRow="1" firstDataCol="0"/>
  <pivotFields>
    <pivotField name="ID_Cli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No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Préno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C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Vill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ype_Vehicule" compact="0" outline="0" multipleItemSelectionAllowed="1" showAll="0">
      <items>
        <item x="0"/>
        <item x="1"/>
        <item x="2"/>
        <item t="default"/>
      </items>
    </pivotField>
    <pivotField name="Marqu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nnée_Vehicu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Valeur_Vehicu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ype_Assurance" axis="axisRow" compact="0" outline="0" multipleItemSelectionAllowed="1" showAll="0" sortType="ascending">
      <items>
        <item x="2"/>
        <item x="0"/>
        <item x="1"/>
        <item t="default"/>
      </items>
    </pivotField>
    <pivotField name="Date_Souscriptio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Durée" compact="0" outline="0" multipleItemSelectionAllowed="1" showAll="0">
      <items>
        <item x="0"/>
        <item t="default"/>
      </items>
    </pivotField>
    <pivotField name="Prime_Ba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aux_Risque" compact="0" outline="0" multipleItemSelectionAllowed="1" showAll="0">
      <items>
        <item x="0"/>
        <item x="1"/>
        <item x="2"/>
        <item t="default"/>
      </items>
    </pivotField>
    <pivotField name="Montant_Risq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Prime_Total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Statut_Client" compact="0" outline="0" multipleItemSelectionAllowed="1" showAll="0">
      <items>
        <item x="0"/>
        <item x="1"/>
        <item t="default"/>
      </items>
    </pivotField>
    <pivotField name="Classe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</pivotFields>
  <rowFields>
    <field x="9"/>
  </rowFields>
  <dataFields>
    <dataField name="Total des Primes par Type d'Assurance (DH)" fld="15" baseField="0"/>
  </dataFields>
</pivotTableDefinition>
</file>

<file path=xl/pivotTables/pivotTable2.xml><?xml version="1.0" encoding="utf-8"?>
<pivotTableDefinition xmlns="http://schemas.openxmlformats.org/spreadsheetml/2006/main" name="data ressours 2" cacheId="0" dataCaption="" compact="0" compactData="0">
  <location ref="G3:H7" firstHeaderRow="0" firstDataRow="1" firstDataCol="0"/>
  <pivotFields>
    <pivotField name="ID_Cli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No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Préno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C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Vill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ype_Vehicule" axis="axisRow" compact="0" outline="0" multipleItemSelectionAllowed="1" showAll="0" sortType="ascending">
      <items>
        <item x="1"/>
        <item x="0"/>
        <item x="2"/>
        <item t="default"/>
      </items>
    </pivotField>
    <pivotField name="Marqu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nnée_Vehicu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Valeur_Vehicu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ype_Assurance" compact="0" outline="0" multipleItemSelectionAllowed="1" showAll="0">
      <items>
        <item x="0"/>
        <item x="1"/>
        <item x="2"/>
        <item t="default"/>
      </items>
    </pivotField>
    <pivotField name="Date_Souscriptio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Durée" compact="0" outline="0" multipleItemSelectionAllowed="1" showAll="0">
      <items>
        <item x="0"/>
        <item t="default"/>
      </items>
    </pivotField>
    <pivotField name="Prime_Ba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aux_Risque" compact="0" outline="0" multipleItemSelectionAllowed="1" showAll="0">
      <items>
        <item x="0"/>
        <item x="1"/>
        <item x="2"/>
        <item t="default"/>
      </items>
    </pivotField>
    <pivotField name="Montant_Risq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Prime_Total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Statut_Client" compact="0" outline="0" multipleItemSelectionAllowed="1" showAll="0">
      <items>
        <item x="0"/>
        <item x="1"/>
        <item t="default"/>
      </items>
    </pivotField>
    <pivotField name="Classe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</pivotFields>
  <rowFields>
    <field x="5"/>
  </rowFields>
  <dataFields>
    <dataField name="AVERAGE of Prime_Totale" fld="15" subtotal="average" baseField="0"/>
  </dataFields>
</pivotTableDefinition>
</file>

<file path=xl/pivotTables/pivotTable3.xml><?xml version="1.0" encoding="utf-8"?>
<pivotTableDefinition xmlns="http://schemas.openxmlformats.org/spreadsheetml/2006/main" name="data ressours 3" cacheId="0" dataCaption="" compact="0" compactData="0">
  <location ref="A20:B27" firstHeaderRow="0" firstDataRow="1" firstDataCol="0"/>
  <pivotFields>
    <pivotField name="ID_Clie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No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Préno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C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Ville" axis="axisRow" compact="0" outline="0" multipleItemSelectionAllowed="1" showAll="0" sortType="ascending">
      <items>
        <item x="4"/>
        <item x="3"/>
        <item x="5"/>
        <item x="1"/>
        <item x="0"/>
        <item x="2"/>
        <item t="default"/>
      </items>
    </pivotField>
    <pivotField name="Type_Vehicule" compact="0" outline="0" multipleItemSelectionAllowed="1" showAll="0">
      <items>
        <item x="0"/>
        <item x="1"/>
        <item x="2"/>
        <item t="default"/>
      </items>
    </pivotField>
    <pivotField name="Marqu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nnée_Vehicu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Valeur_Vehicu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ype_Assurance" compact="0" outline="0" multipleItemSelectionAllowed="1" showAll="0">
      <items>
        <item x="0"/>
        <item x="1"/>
        <item x="2"/>
        <item t="default"/>
      </items>
    </pivotField>
    <pivotField name="Date_Souscriptio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Durée" compact="0" outline="0" multipleItemSelectionAllowed="1" showAll="0">
      <items>
        <item x="0"/>
        <item t="default"/>
      </items>
    </pivotField>
    <pivotField name="Prime_Ba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aux_Risque" compact="0" outline="0" multipleItemSelectionAllowed="1" showAll="0">
      <items>
        <item x="0"/>
        <item x="1"/>
        <item x="2"/>
        <item t="default"/>
      </items>
    </pivotField>
    <pivotField name="Montant_Risq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Prime_Tota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Statut_Client" compact="0" outline="0" multipleItemSelectionAllowed="1" showAll="0">
      <items>
        <item x="0"/>
        <item x="1"/>
        <item t="default"/>
      </items>
    </pivotField>
    <pivotField name="Classe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</pivotFields>
  <rowFields>
    <field x="4"/>
  </rowFields>
  <dataFields>
    <dataField name="COUNTA of ID_Client" fld="0" subtotal="count" baseField="0"/>
  </dataFields>
</pivotTableDefinition>
</file>

<file path=xl/pivotTables/pivotTable4.xml><?xml version="1.0" encoding="utf-8"?>
<pivotTableDefinition xmlns="http://schemas.openxmlformats.org/spreadsheetml/2006/main" name="data ressours 4" cacheId="0" dataCaption="" compact="0" compactData="0">
  <location ref="G20:H23" firstHeaderRow="0" firstDataRow="1" firstDataCol="0"/>
  <pivotFields>
    <pivotField name="ID_Clie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No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Préno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C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Vill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ype_Vehicule" compact="0" outline="0" multipleItemSelectionAllowed="1" showAll="0">
      <items>
        <item x="0"/>
        <item x="1"/>
        <item x="2"/>
        <item t="default"/>
      </items>
    </pivotField>
    <pivotField name="Marqu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nnée_Vehicu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Valeur_Vehicu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ype_Assurance" compact="0" outline="0" multipleItemSelectionAllowed="1" showAll="0">
      <items>
        <item x="0"/>
        <item x="1"/>
        <item x="2"/>
        <item t="default"/>
      </items>
    </pivotField>
    <pivotField name="Date_Souscriptio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Durée" compact="0" outline="0" multipleItemSelectionAllowed="1" showAll="0">
      <items>
        <item x="0"/>
        <item t="default"/>
      </items>
    </pivotField>
    <pivotField name="Prime_Ba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aux_Risque" compact="0" outline="0" multipleItemSelectionAllowed="1" showAll="0">
      <items>
        <item x="0"/>
        <item x="1"/>
        <item x="2"/>
        <item t="default"/>
      </items>
    </pivotField>
    <pivotField name="Montant_Risq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Prime_Tota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Statut_Client" axis="axisRow" compact="0" outline="0" multipleItemSelectionAllowed="1" showAll="0" sortType="ascending">
      <items>
        <item x="1"/>
        <item x="0"/>
        <item t="default"/>
      </items>
    </pivotField>
    <pivotField name="Classe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</pivotFields>
  <rowFields>
    <field x="16"/>
  </rowFields>
  <dataFields>
    <dataField name="COUNTA of ID_Client" fld="0" subtotal="count" baseField="0"/>
  </dataFields>
</pivotTableDefinition>
</file>

<file path=xl/pivotTables/pivotTable5.xml><?xml version="1.0" encoding="utf-8"?>
<pivotTableDefinition xmlns="http://schemas.openxmlformats.org/spreadsheetml/2006/main" name="data ressours 5" cacheId="0" dataCaption="" compact="0" compactData="0">
  <location ref="A40:B69" firstHeaderRow="0" firstDataRow="1" firstDataCol="0"/>
  <pivotFields>
    <pivotField name="ID_Cli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No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Préno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C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Vill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ype_Vehicule" compact="0" outline="0" multipleItemSelectionAllowed="1" showAll="0">
      <items>
        <item x="0"/>
        <item x="1"/>
        <item x="2"/>
        <item t="default"/>
      </items>
    </pivotField>
    <pivotField name="Marqu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nnée_Vehicu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Valeur_Vehicu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ype_Assurance" compact="0" outline="0" multipleItemSelectionAllowed="1" showAll="0">
      <items>
        <item x="0"/>
        <item x="1"/>
        <item x="2"/>
        <item t="default"/>
      </items>
    </pivotField>
    <pivotField name="Date_Souscription" axis="axisRow" compact="0" numFmtId="164" outline="0" multipleItemSelectionAllowed="1" showAll="0" sortType="ascending">
      <items>
        <item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Durée" compact="0" outline="0" multipleItemSelectionAllowed="1" showAll="0">
      <items>
        <item x="0"/>
        <item t="default"/>
      </items>
    </pivotField>
    <pivotField name="Prime_Ba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aux_Risque" compact="0" outline="0" multipleItemSelectionAllowed="1" showAll="0">
      <items>
        <item x="0"/>
        <item x="1"/>
        <item x="2"/>
        <item t="default"/>
      </items>
    </pivotField>
    <pivotField name="Montant_Risq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Prime_Total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Statut_Client" compact="0" outline="0" multipleItemSelectionAllowed="1" showAll="0">
      <items>
        <item x="0"/>
        <item x="1"/>
        <item t="default"/>
      </items>
    </pivotField>
    <pivotField name="Classe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</pivotFields>
  <rowFields>
    <field x="10"/>
  </rowFields>
  <dataFields>
    <dataField name="SUM of Prime_Totale" fld="1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11.71"/>
    <col customWidth="1" min="3" max="3" width="10.14"/>
    <col customWidth="1" min="4" max="4" width="8.29"/>
    <col customWidth="1" min="5" max="5" width="10.29"/>
    <col customWidth="1" min="6" max="6" width="12.71"/>
    <col customWidth="1" min="7" max="7" width="7.71"/>
    <col customWidth="1" min="8" max="8" width="14.0"/>
    <col customWidth="1" min="9" max="10" width="14.14"/>
    <col customWidth="1" min="11" max="11" width="15.86"/>
    <col customWidth="1" min="12" max="12" width="5.86"/>
    <col customWidth="1" min="13" max="13" width="10.57"/>
    <col customWidth="1" min="14" max="14" width="11.29"/>
    <col customWidth="1" min="15" max="15" width="14.43"/>
    <col customWidth="1" min="16" max="16" width="11.86"/>
    <col customWidth="1" min="17" max="17" width="11.57"/>
    <col customWidth="1" min="18" max="18" width="13.0"/>
    <col customWidth="1" min="19" max="19" width="23.43"/>
    <col customWidth="1" min="20" max="20" width="15.0"/>
    <col customWidth="1" min="21" max="21" width="11.71"/>
    <col customWidth="1" min="22" max="22" width="8.86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1" t="s">
        <v>18</v>
      </c>
    </row>
    <row r="2" ht="14.25" customHeight="1">
      <c r="A2" s="4">
        <v>1.0</v>
      </c>
      <c r="B2" s="5" t="s">
        <v>19</v>
      </c>
      <c r="C2" s="5" t="s">
        <v>20</v>
      </c>
      <c r="D2" s="5" t="s">
        <v>21</v>
      </c>
      <c r="E2" s="5" t="s">
        <v>22</v>
      </c>
      <c r="F2" s="5" t="s">
        <v>23</v>
      </c>
      <c r="G2" s="5" t="s">
        <v>24</v>
      </c>
      <c r="H2" s="4">
        <v>2011.0</v>
      </c>
      <c r="I2" s="4">
        <v>93000.0</v>
      </c>
      <c r="J2" s="4" t="s">
        <v>25</v>
      </c>
      <c r="K2" s="6">
        <v>45659.0</v>
      </c>
      <c r="L2" s="4">
        <v>12.0</v>
      </c>
      <c r="M2" s="4">
        <v>1560.0</v>
      </c>
      <c r="N2" s="4">
        <f t="shared" ref="N2:N41" si="1">IF(F2="Moto",5%,IF(F2="Voiture",3%,IF(F2="Camion",6%,0)))</f>
        <v>0.05</v>
      </c>
      <c r="O2" s="4">
        <f t="shared" ref="O2:O41" si="2">I2*N2</f>
        <v>4650</v>
      </c>
      <c r="P2" s="4">
        <f t="shared" ref="P2:P41" si="3">M2+O2</f>
        <v>6210</v>
      </c>
      <c r="Q2" s="7" t="str">
        <f t="shared" ref="Q2:Q41" si="4">IF(P2&lt;2000,"Standard",IF(P2&lt;5000,"Premium","VIP"))</f>
        <v>VIP</v>
      </c>
      <c r="R2" s="8">
        <f t="shared" ref="R2:R41" si="5">RANK(P2,$P$2:$P$41,0)</f>
        <v>36</v>
      </c>
      <c r="S2" s="8" t="str">
        <f t="shared" ref="S2:S41" si="6">B2&amp;" "&amp;C2</f>
        <v>El Amrani Youssef</v>
      </c>
      <c r="U2" s="9" t="s">
        <v>26</v>
      </c>
      <c r="V2" s="8">
        <f>COUNTIF(J:J,"Tous Risques")</f>
        <v>13</v>
      </c>
    </row>
    <row r="3" ht="14.25" hidden="1" customHeight="1">
      <c r="A3" s="4">
        <v>2.0</v>
      </c>
      <c r="B3" s="5" t="s">
        <v>27</v>
      </c>
      <c r="C3" s="5" t="s">
        <v>28</v>
      </c>
      <c r="D3" s="5" t="s">
        <v>29</v>
      </c>
      <c r="E3" s="5" t="s">
        <v>22</v>
      </c>
      <c r="F3" s="5" t="s">
        <v>30</v>
      </c>
      <c r="G3" s="5" t="s">
        <v>31</v>
      </c>
      <c r="H3" s="4">
        <v>2012.0</v>
      </c>
      <c r="I3" s="4">
        <v>96000.0</v>
      </c>
      <c r="J3" s="4" t="s">
        <v>26</v>
      </c>
      <c r="K3" s="6">
        <v>45660.0</v>
      </c>
      <c r="L3" s="4">
        <v>12.0</v>
      </c>
      <c r="M3" s="4">
        <v>1620.0</v>
      </c>
      <c r="N3" s="4">
        <f t="shared" si="1"/>
        <v>0.06</v>
      </c>
      <c r="O3" s="4">
        <f t="shared" si="2"/>
        <v>5760</v>
      </c>
      <c r="P3" s="4">
        <f t="shared" si="3"/>
        <v>7380</v>
      </c>
      <c r="Q3" s="4" t="str">
        <f t="shared" si="4"/>
        <v>VIP</v>
      </c>
      <c r="R3" s="10">
        <f t="shared" si="5"/>
        <v>31</v>
      </c>
      <c r="S3" s="10" t="str">
        <f t="shared" si="6"/>
        <v>Ait Lahcen Fatima</v>
      </c>
      <c r="U3" s="10" t="s">
        <v>32</v>
      </c>
      <c r="V3" s="10">
        <f>COUNTIF(F:F,"Voiture")</f>
        <v>13</v>
      </c>
    </row>
    <row r="4" ht="14.25" customHeight="1">
      <c r="A4" s="4">
        <v>3.0</v>
      </c>
      <c r="B4" s="5" t="s">
        <v>33</v>
      </c>
      <c r="C4" s="5" t="s">
        <v>34</v>
      </c>
      <c r="D4" s="5" t="s">
        <v>35</v>
      </c>
      <c r="E4" s="5" t="s">
        <v>36</v>
      </c>
      <c r="F4" s="5" t="s">
        <v>37</v>
      </c>
      <c r="G4" s="5" t="s">
        <v>38</v>
      </c>
      <c r="H4" s="4">
        <v>2013.0</v>
      </c>
      <c r="I4" s="4">
        <v>99000.0</v>
      </c>
      <c r="J4" s="4" t="s">
        <v>39</v>
      </c>
      <c r="K4" s="6">
        <v>45661.0</v>
      </c>
      <c r="L4" s="4">
        <v>12.0</v>
      </c>
      <c r="M4" s="4">
        <v>1680.0</v>
      </c>
      <c r="N4" s="4">
        <f t="shared" si="1"/>
        <v>0.03</v>
      </c>
      <c r="O4" s="4">
        <f t="shared" si="2"/>
        <v>2970</v>
      </c>
      <c r="P4" s="4">
        <f t="shared" si="3"/>
        <v>4650</v>
      </c>
      <c r="Q4" s="7" t="str">
        <f t="shared" si="4"/>
        <v>Premium</v>
      </c>
      <c r="R4" s="8">
        <f t="shared" si="5"/>
        <v>40</v>
      </c>
      <c r="S4" s="8" t="str">
        <f t="shared" si="6"/>
        <v>Benali Ahmed</v>
      </c>
    </row>
    <row r="5" ht="14.25" customHeight="1">
      <c r="A5" s="4">
        <v>4.0</v>
      </c>
      <c r="B5" s="5" t="s">
        <v>40</v>
      </c>
      <c r="C5" s="5" t="s">
        <v>41</v>
      </c>
      <c r="D5" s="5" t="s">
        <v>42</v>
      </c>
      <c r="E5" s="5" t="s">
        <v>43</v>
      </c>
      <c r="F5" s="5" t="s">
        <v>23</v>
      </c>
      <c r="G5" s="5" t="s">
        <v>44</v>
      </c>
      <c r="H5" s="4">
        <v>2014.0</v>
      </c>
      <c r="I5" s="4">
        <v>102000.0</v>
      </c>
      <c r="J5" s="4" t="s">
        <v>25</v>
      </c>
      <c r="K5" s="6">
        <v>45662.0</v>
      </c>
      <c r="L5" s="4">
        <v>12.0</v>
      </c>
      <c r="M5" s="4">
        <v>1740.0</v>
      </c>
      <c r="N5" s="4">
        <f t="shared" si="1"/>
        <v>0.05</v>
      </c>
      <c r="O5" s="4">
        <f t="shared" si="2"/>
        <v>5100</v>
      </c>
      <c r="P5" s="4">
        <f t="shared" si="3"/>
        <v>6840</v>
      </c>
      <c r="Q5" s="7" t="str">
        <f t="shared" si="4"/>
        <v>VIP</v>
      </c>
      <c r="R5" s="8">
        <f t="shared" si="5"/>
        <v>34</v>
      </c>
      <c r="S5" s="8" t="str">
        <f t="shared" si="6"/>
        <v>El Idrissi Salma</v>
      </c>
      <c r="U5" s="9" t="s">
        <v>45</v>
      </c>
      <c r="V5" s="8">
        <f>SUMIF(E:E,"Ouarzazate",P:P)</f>
        <v>72060</v>
      </c>
    </row>
    <row r="6" ht="14.25" customHeight="1">
      <c r="A6" s="4">
        <v>5.0</v>
      </c>
      <c r="B6" s="5" t="s">
        <v>46</v>
      </c>
      <c r="C6" s="5" t="s">
        <v>47</v>
      </c>
      <c r="D6" s="5" t="s">
        <v>48</v>
      </c>
      <c r="E6" s="5" t="s">
        <v>49</v>
      </c>
      <c r="F6" s="5" t="s">
        <v>30</v>
      </c>
      <c r="G6" s="5" t="s">
        <v>50</v>
      </c>
      <c r="H6" s="4">
        <v>2015.0</v>
      </c>
      <c r="I6" s="4">
        <v>105000.0</v>
      </c>
      <c r="J6" s="4" t="s">
        <v>26</v>
      </c>
      <c r="K6" s="6">
        <v>45663.0</v>
      </c>
      <c r="L6" s="4">
        <v>12.0</v>
      </c>
      <c r="M6" s="4">
        <v>1800.0</v>
      </c>
      <c r="N6" s="4">
        <f t="shared" si="1"/>
        <v>0.06</v>
      </c>
      <c r="O6" s="4">
        <f t="shared" si="2"/>
        <v>6300</v>
      </c>
      <c r="P6" s="4">
        <f t="shared" si="3"/>
        <v>8100</v>
      </c>
      <c r="Q6" s="7" t="str">
        <f t="shared" si="4"/>
        <v>VIP</v>
      </c>
      <c r="R6" s="8">
        <f t="shared" si="5"/>
        <v>27</v>
      </c>
      <c r="S6" s="8" t="str">
        <f t="shared" si="6"/>
        <v>Chraibi Mohamed</v>
      </c>
      <c r="U6" s="9" t="s">
        <v>30</v>
      </c>
      <c r="V6" s="8">
        <f>SUMIF(F:F,"Camion",P:P)</f>
        <v>152100</v>
      </c>
    </row>
    <row r="7" ht="14.25" customHeight="1">
      <c r="A7" s="4">
        <v>6.0</v>
      </c>
      <c r="B7" s="5" t="s">
        <v>51</v>
      </c>
      <c r="C7" s="5" t="s">
        <v>52</v>
      </c>
      <c r="D7" s="5" t="s">
        <v>53</v>
      </c>
      <c r="E7" s="5" t="s">
        <v>54</v>
      </c>
      <c r="F7" s="5" t="s">
        <v>37</v>
      </c>
      <c r="G7" s="5" t="s">
        <v>55</v>
      </c>
      <c r="H7" s="4">
        <v>2016.0</v>
      </c>
      <c r="I7" s="4">
        <v>108000.0</v>
      </c>
      <c r="J7" s="4" t="s">
        <v>39</v>
      </c>
      <c r="K7" s="6">
        <v>45664.0</v>
      </c>
      <c r="L7" s="4">
        <v>12.0</v>
      </c>
      <c r="M7" s="4">
        <v>1860.0</v>
      </c>
      <c r="N7" s="4">
        <f t="shared" si="1"/>
        <v>0.03</v>
      </c>
      <c r="O7" s="4">
        <f t="shared" si="2"/>
        <v>3240</v>
      </c>
      <c r="P7" s="4">
        <f t="shared" si="3"/>
        <v>5100</v>
      </c>
      <c r="Q7" s="7" t="str">
        <f t="shared" si="4"/>
        <v>VIP</v>
      </c>
      <c r="R7" s="8">
        <f t="shared" si="5"/>
        <v>39</v>
      </c>
      <c r="S7" s="8" t="str">
        <f t="shared" si="6"/>
        <v>Tahiri Khadija</v>
      </c>
    </row>
    <row r="8" ht="14.25" customHeight="1">
      <c r="A8" s="4">
        <v>7.0</v>
      </c>
      <c r="B8" s="5" t="s">
        <v>56</v>
      </c>
      <c r="C8" s="5" t="s">
        <v>57</v>
      </c>
      <c r="D8" s="5" t="s">
        <v>58</v>
      </c>
      <c r="E8" s="5" t="s">
        <v>36</v>
      </c>
      <c r="F8" s="5" t="s">
        <v>23</v>
      </c>
      <c r="G8" s="5" t="s">
        <v>24</v>
      </c>
      <c r="H8" s="4">
        <v>2017.0</v>
      </c>
      <c r="I8" s="4">
        <v>111000.0</v>
      </c>
      <c r="J8" s="4" t="s">
        <v>25</v>
      </c>
      <c r="K8" s="6">
        <v>45665.0</v>
      </c>
      <c r="L8" s="4">
        <v>12.0</v>
      </c>
      <c r="M8" s="4">
        <v>1920.0</v>
      </c>
      <c r="N8" s="4">
        <f t="shared" si="1"/>
        <v>0.05</v>
      </c>
      <c r="O8" s="4">
        <f t="shared" si="2"/>
        <v>5550</v>
      </c>
      <c r="P8" s="4">
        <f t="shared" si="3"/>
        <v>7470</v>
      </c>
      <c r="Q8" s="7" t="str">
        <f t="shared" si="4"/>
        <v>VIP</v>
      </c>
      <c r="R8" s="8">
        <f t="shared" si="5"/>
        <v>30</v>
      </c>
      <c r="S8" s="8" t="str">
        <f t="shared" si="6"/>
        <v>Bennani Omar</v>
      </c>
    </row>
    <row r="9" ht="14.25" customHeight="1">
      <c r="A9" s="4">
        <v>8.0</v>
      </c>
      <c r="B9" s="5" t="s">
        <v>59</v>
      </c>
      <c r="C9" s="5" t="s">
        <v>60</v>
      </c>
      <c r="D9" s="5" t="s">
        <v>61</v>
      </c>
      <c r="E9" s="5" t="s">
        <v>62</v>
      </c>
      <c r="F9" s="5" t="s">
        <v>30</v>
      </c>
      <c r="G9" s="5" t="s">
        <v>31</v>
      </c>
      <c r="H9" s="4">
        <v>2018.0</v>
      </c>
      <c r="I9" s="4">
        <v>114000.0</v>
      </c>
      <c r="J9" s="4" t="s">
        <v>26</v>
      </c>
      <c r="K9" s="6">
        <v>45666.0</v>
      </c>
      <c r="L9" s="4">
        <v>12.0</v>
      </c>
      <c r="M9" s="4">
        <v>1980.0</v>
      </c>
      <c r="N9" s="4">
        <f t="shared" si="1"/>
        <v>0.06</v>
      </c>
      <c r="O9" s="4">
        <f t="shared" si="2"/>
        <v>6840</v>
      </c>
      <c r="P9" s="4">
        <f t="shared" si="3"/>
        <v>8820</v>
      </c>
      <c r="Q9" s="7" t="str">
        <f t="shared" si="4"/>
        <v>VIP</v>
      </c>
      <c r="R9" s="8">
        <f t="shared" si="5"/>
        <v>23</v>
      </c>
      <c r="S9" s="8" t="str">
        <f t="shared" si="6"/>
        <v>El Fassi Imane</v>
      </c>
    </row>
    <row r="10" ht="14.25" hidden="1" customHeight="1">
      <c r="A10" s="4">
        <v>9.0</v>
      </c>
      <c r="B10" s="5" t="s">
        <v>63</v>
      </c>
      <c r="C10" s="5" t="s">
        <v>64</v>
      </c>
      <c r="D10" s="5" t="s">
        <v>65</v>
      </c>
      <c r="E10" s="5" t="s">
        <v>43</v>
      </c>
      <c r="F10" s="5" t="s">
        <v>37</v>
      </c>
      <c r="G10" s="5" t="s">
        <v>38</v>
      </c>
      <c r="H10" s="4">
        <v>2019.0</v>
      </c>
      <c r="I10" s="4">
        <v>117000.0</v>
      </c>
      <c r="J10" s="4" t="s">
        <v>39</v>
      </c>
      <c r="K10" s="6">
        <v>45667.0</v>
      </c>
      <c r="L10" s="4">
        <v>12.0</v>
      </c>
      <c r="M10" s="4">
        <v>2040.0</v>
      </c>
      <c r="N10" s="4">
        <f t="shared" si="1"/>
        <v>0.03</v>
      </c>
      <c r="O10" s="4">
        <f t="shared" si="2"/>
        <v>3510</v>
      </c>
      <c r="P10" s="4">
        <f t="shared" si="3"/>
        <v>5550</v>
      </c>
      <c r="Q10" s="4" t="str">
        <f t="shared" si="4"/>
        <v>VIP</v>
      </c>
      <c r="R10" s="10">
        <f t="shared" si="5"/>
        <v>38</v>
      </c>
      <c r="S10" s="10" t="str">
        <f t="shared" si="6"/>
        <v>Alaoui Hassan</v>
      </c>
      <c r="U10" s="10" t="s">
        <v>66</v>
      </c>
      <c r="V10" s="10">
        <v>6.0</v>
      </c>
    </row>
    <row r="11" ht="14.25" customHeight="1">
      <c r="A11" s="4">
        <v>10.0</v>
      </c>
      <c r="B11" s="5" t="s">
        <v>67</v>
      </c>
      <c r="C11" s="5" t="s">
        <v>68</v>
      </c>
      <c r="D11" s="5" t="s">
        <v>69</v>
      </c>
      <c r="E11" s="5" t="s">
        <v>54</v>
      </c>
      <c r="F11" s="5" t="s">
        <v>23</v>
      </c>
      <c r="G11" s="5" t="s">
        <v>44</v>
      </c>
      <c r="H11" s="4">
        <v>2020.0</v>
      </c>
      <c r="I11" s="4">
        <v>120000.0</v>
      </c>
      <c r="J11" s="4" t="s">
        <v>25</v>
      </c>
      <c r="K11" s="6">
        <v>45668.0</v>
      </c>
      <c r="L11" s="4">
        <v>12.0</v>
      </c>
      <c r="M11" s="4">
        <v>2100.0</v>
      </c>
      <c r="N11" s="4">
        <f t="shared" si="1"/>
        <v>0.05</v>
      </c>
      <c r="O11" s="4">
        <f t="shared" si="2"/>
        <v>6000</v>
      </c>
      <c r="P11" s="4">
        <f t="shared" si="3"/>
        <v>8100</v>
      </c>
      <c r="Q11" s="7" t="str">
        <f t="shared" si="4"/>
        <v>VIP</v>
      </c>
      <c r="R11" s="8">
        <f t="shared" si="5"/>
        <v>27</v>
      </c>
      <c r="S11" s="8" t="str">
        <f t="shared" si="6"/>
        <v>Zerouali Nadia</v>
      </c>
      <c r="U11" s="9" t="s">
        <v>70</v>
      </c>
      <c r="V11" s="8" t="str">
        <f t="array" ref="V11">INDEX(B:B,MATCH(V10,A:A,0))</f>
        <v>Tahiri</v>
      </c>
    </row>
    <row r="12" ht="14.25" customHeight="1">
      <c r="A12" s="4">
        <v>11.0</v>
      </c>
      <c r="B12" s="5" t="s">
        <v>71</v>
      </c>
      <c r="C12" s="5" t="s">
        <v>72</v>
      </c>
      <c r="D12" s="5" t="s">
        <v>73</v>
      </c>
      <c r="E12" s="5" t="s">
        <v>49</v>
      </c>
      <c r="F12" s="5" t="s">
        <v>30</v>
      </c>
      <c r="G12" s="5" t="s">
        <v>50</v>
      </c>
      <c r="H12" s="4">
        <v>2021.0</v>
      </c>
      <c r="I12" s="4">
        <v>123000.0</v>
      </c>
      <c r="J12" s="4" t="s">
        <v>26</v>
      </c>
      <c r="K12" s="6">
        <v>45669.0</v>
      </c>
      <c r="L12" s="4">
        <v>12.0</v>
      </c>
      <c r="M12" s="4">
        <v>2160.0</v>
      </c>
      <c r="N12" s="4">
        <f t="shared" si="1"/>
        <v>0.06</v>
      </c>
      <c r="O12" s="4">
        <f t="shared" si="2"/>
        <v>7380</v>
      </c>
      <c r="P12" s="4">
        <f t="shared" si="3"/>
        <v>9540</v>
      </c>
      <c r="Q12" s="7" t="str">
        <f t="shared" si="4"/>
        <v>VIP</v>
      </c>
      <c r="R12" s="8">
        <f t="shared" si="5"/>
        <v>20</v>
      </c>
      <c r="S12" s="8" t="str">
        <f t="shared" si="6"/>
        <v>Skalli Abdelilah</v>
      </c>
      <c r="U12" s="9" t="s">
        <v>74</v>
      </c>
      <c r="V12" s="8">
        <f t="array" ref="V12">INDEX(P:P,MATCH(V10,A:A,0))</f>
        <v>5100</v>
      </c>
    </row>
    <row r="13" ht="14.25" customHeight="1">
      <c r="A13" s="4">
        <v>12.0</v>
      </c>
      <c r="B13" s="5" t="s">
        <v>75</v>
      </c>
      <c r="C13" s="5" t="s">
        <v>76</v>
      </c>
      <c r="D13" s="5" t="s">
        <v>77</v>
      </c>
      <c r="E13" s="5" t="s">
        <v>36</v>
      </c>
      <c r="F13" s="5" t="s">
        <v>37</v>
      </c>
      <c r="G13" s="5" t="s">
        <v>55</v>
      </c>
      <c r="H13" s="4">
        <v>2022.0</v>
      </c>
      <c r="I13" s="4">
        <v>126000.0</v>
      </c>
      <c r="J13" s="4" t="s">
        <v>39</v>
      </c>
      <c r="K13" s="6">
        <v>45670.0</v>
      </c>
      <c r="L13" s="4">
        <v>12.0</v>
      </c>
      <c r="M13" s="4">
        <v>2220.0</v>
      </c>
      <c r="N13" s="4">
        <f t="shared" si="1"/>
        <v>0.03</v>
      </c>
      <c r="O13" s="4">
        <f t="shared" si="2"/>
        <v>3780</v>
      </c>
      <c r="P13" s="4">
        <f t="shared" si="3"/>
        <v>6000</v>
      </c>
      <c r="Q13" s="7" t="str">
        <f t="shared" si="4"/>
        <v>VIP</v>
      </c>
      <c r="R13" s="8">
        <f t="shared" si="5"/>
        <v>37</v>
      </c>
      <c r="S13" s="8" t="str">
        <f t="shared" si="6"/>
        <v>Raji Siham</v>
      </c>
    </row>
    <row r="14" ht="14.25" customHeight="1">
      <c r="A14" s="4">
        <v>13.0</v>
      </c>
      <c r="B14" s="5" t="s">
        <v>78</v>
      </c>
      <c r="C14" s="5" t="s">
        <v>79</v>
      </c>
      <c r="D14" s="5" t="s">
        <v>80</v>
      </c>
      <c r="E14" s="5" t="s">
        <v>22</v>
      </c>
      <c r="F14" s="5" t="s">
        <v>23</v>
      </c>
      <c r="G14" s="5" t="s">
        <v>24</v>
      </c>
      <c r="H14" s="4">
        <v>2023.0</v>
      </c>
      <c r="I14" s="4">
        <v>129000.0</v>
      </c>
      <c r="J14" s="4" t="s">
        <v>25</v>
      </c>
      <c r="K14" s="6">
        <v>45671.0</v>
      </c>
      <c r="L14" s="4">
        <v>12.0</v>
      </c>
      <c r="M14" s="4">
        <v>2280.0</v>
      </c>
      <c r="N14" s="4">
        <f t="shared" si="1"/>
        <v>0.05</v>
      </c>
      <c r="O14" s="4">
        <f t="shared" si="2"/>
        <v>6450</v>
      </c>
      <c r="P14" s="4">
        <f t="shared" si="3"/>
        <v>8730</v>
      </c>
      <c r="Q14" s="7" t="str">
        <f t="shared" si="4"/>
        <v>VIP</v>
      </c>
      <c r="R14" s="8">
        <f t="shared" si="5"/>
        <v>24</v>
      </c>
      <c r="S14" s="8" t="str">
        <f t="shared" si="6"/>
        <v>Ouahbi Anas</v>
      </c>
    </row>
    <row r="15" ht="14.25" hidden="1" customHeight="1">
      <c r="A15" s="4">
        <v>14.0</v>
      </c>
      <c r="B15" s="5" t="s">
        <v>81</v>
      </c>
      <c r="C15" s="5" t="s">
        <v>82</v>
      </c>
      <c r="D15" s="5" t="s">
        <v>83</v>
      </c>
      <c r="E15" s="5" t="s">
        <v>54</v>
      </c>
      <c r="F15" s="5" t="s">
        <v>30</v>
      </c>
      <c r="G15" s="5" t="s">
        <v>31</v>
      </c>
      <c r="H15" s="4">
        <v>2010.0</v>
      </c>
      <c r="I15" s="4">
        <v>132000.0</v>
      </c>
      <c r="J15" s="4" t="s">
        <v>26</v>
      </c>
      <c r="K15" s="6">
        <v>45672.0</v>
      </c>
      <c r="L15" s="4">
        <v>12.0</v>
      </c>
      <c r="M15" s="4">
        <v>2340.0</v>
      </c>
      <c r="N15" s="4">
        <f t="shared" si="1"/>
        <v>0.06</v>
      </c>
      <c r="O15" s="4">
        <f t="shared" si="2"/>
        <v>7920</v>
      </c>
      <c r="P15" s="4">
        <f t="shared" si="3"/>
        <v>10260</v>
      </c>
      <c r="Q15" s="4" t="str">
        <f t="shared" si="4"/>
        <v>VIP</v>
      </c>
      <c r="R15" s="10">
        <f t="shared" si="5"/>
        <v>16</v>
      </c>
      <c r="S15" s="10" t="str">
        <f t="shared" si="6"/>
        <v>Amine Soukaina</v>
      </c>
    </row>
    <row r="16" ht="14.25" customHeight="1">
      <c r="A16" s="4">
        <v>15.0</v>
      </c>
      <c r="B16" s="5" t="s">
        <v>84</v>
      </c>
      <c r="C16" s="5" t="s">
        <v>85</v>
      </c>
      <c r="D16" s="5" t="s">
        <v>86</v>
      </c>
      <c r="E16" s="5" t="s">
        <v>49</v>
      </c>
      <c r="F16" s="5" t="s">
        <v>37</v>
      </c>
      <c r="G16" s="5" t="s">
        <v>38</v>
      </c>
      <c r="H16" s="4">
        <v>2011.0</v>
      </c>
      <c r="I16" s="4">
        <v>135000.0</v>
      </c>
      <c r="J16" s="4" t="s">
        <v>39</v>
      </c>
      <c r="K16" s="6">
        <v>45673.0</v>
      </c>
      <c r="L16" s="4">
        <v>12.0</v>
      </c>
      <c r="M16" s="4">
        <v>2400.0</v>
      </c>
      <c r="N16" s="4">
        <f t="shared" si="1"/>
        <v>0.03</v>
      </c>
      <c r="O16" s="4">
        <f t="shared" si="2"/>
        <v>4050</v>
      </c>
      <c r="P16" s="4">
        <f t="shared" si="3"/>
        <v>6450</v>
      </c>
      <c r="Q16" s="7" t="str">
        <f t="shared" si="4"/>
        <v>VIP</v>
      </c>
      <c r="R16" s="8">
        <f t="shared" si="5"/>
        <v>35</v>
      </c>
      <c r="S16" s="8" t="str">
        <f t="shared" si="6"/>
        <v>Mouline Rachid</v>
      </c>
    </row>
    <row r="17" ht="14.25" customHeight="1">
      <c r="A17" s="4">
        <v>16.0</v>
      </c>
      <c r="B17" s="5" t="s">
        <v>87</v>
      </c>
      <c r="C17" s="5" t="s">
        <v>88</v>
      </c>
      <c r="D17" s="5" t="s">
        <v>89</v>
      </c>
      <c r="E17" s="5" t="s">
        <v>43</v>
      </c>
      <c r="F17" s="5" t="s">
        <v>23</v>
      </c>
      <c r="G17" s="5" t="s">
        <v>44</v>
      </c>
      <c r="H17" s="4">
        <v>2012.0</v>
      </c>
      <c r="I17" s="4">
        <v>138000.0</v>
      </c>
      <c r="J17" s="4" t="s">
        <v>25</v>
      </c>
      <c r="K17" s="6">
        <v>45674.0</v>
      </c>
      <c r="L17" s="4">
        <v>12.0</v>
      </c>
      <c r="M17" s="4">
        <v>2460.0</v>
      </c>
      <c r="N17" s="4">
        <f t="shared" si="1"/>
        <v>0.05</v>
      </c>
      <c r="O17" s="4">
        <f t="shared" si="2"/>
        <v>6900</v>
      </c>
      <c r="P17" s="4">
        <f t="shared" si="3"/>
        <v>9360</v>
      </c>
      <c r="Q17" s="7" t="str">
        <f t="shared" si="4"/>
        <v>VIP</v>
      </c>
      <c r="R17" s="8">
        <f t="shared" si="5"/>
        <v>21</v>
      </c>
      <c r="S17" s="8" t="str">
        <f t="shared" si="6"/>
        <v>Lahlou Sara</v>
      </c>
    </row>
    <row r="18" ht="14.25" customHeight="1">
      <c r="A18" s="4">
        <v>17.0</v>
      </c>
      <c r="B18" s="5" t="s">
        <v>90</v>
      </c>
      <c r="C18" s="5" t="s">
        <v>91</v>
      </c>
      <c r="D18" s="5" t="s">
        <v>92</v>
      </c>
      <c r="E18" s="5" t="s">
        <v>36</v>
      </c>
      <c r="F18" s="5" t="s">
        <v>30</v>
      </c>
      <c r="G18" s="5" t="s">
        <v>50</v>
      </c>
      <c r="H18" s="4">
        <v>2013.0</v>
      </c>
      <c r="I18" s="4">
        <v>141000.0</v>
      </c>
      <c r="J18" s="4" t="s">
        <v>26</v>
      </c>
      <c r="K18" s="6">
        <v>45675.0</v>
      </c>
      <c r="L18" s="4">
        <v>12.0</v>
      </c>
      <c r="M18" s="4">
        <v>2520.0</v>
      </c>
      <c r="N18" s="4">
        <f t="shared" si="1"/>
        <v>0.06</v>
      </c>
      <c r="O18" s="4">
        <f t="shared" si="2"/>
        <v>8460</v>
      </c>
      <c r="P18" s="4">
        <f t="shared" si="3"/>
        <v>10980</v>
      </c>
      <c r="Q18" s="7" t="str">
        <f t="shared" si="4"/>
        <v>VIP</v>
      </c>
      <c r="R18" s="8">
        <f t="shared" si="5"/>
        <v>14</v>
      </c>
      <c r="S18" s="8" t="str">
        <f t="shared" si="6"/>
        <v>Kabbaj Yassine</v>
      </c>
    </row>
    <row r="19" ht="14.25" customHeight="1">
      <c r="A19" s="4">
        <v>18.0</v>
      </c>
      <c r="B19" s="5" t="s">
        <v>93</v>
      </c>
      <c r="C19" s="5" t="s">
        <v>94</v>
      </c>
      <c r="D19" s="5" t="s">
        <v>95</v>
      </c>
      <c r="E19" s="5" t="s">
        <v>22</v>
      </c>
      <c r="F19" s="5" t="s">
        <v>37</v>
      </c>
      <c r="G19" s="5" t="s">
        <v>55</v>
      </c>
      <c r="H19" s="4">
        <v>2014.0</v>
      </c>
      <c r="I19" s="4">
        <v>144000.0</v>
      </c>
      <c r="J19" s="4" t="s">
        <v>39</v>
      </c>
      <c r="K19" s="6">
        <v>45676.0</v>
      </c>
      <c r="L19" s="4">
        <v>12.0</v>
      </c>
      <c r="M19" s="4">
        <v>2580.0</v>
      </c>
      <c r="N19" s="4">
        <f t="shared" si="1"/>
        <v>0.03</v>
      </c>
      <c r="O19" s="4">
        <f t="shared" si="2"/>
        <v>4320</v>
      </c>
      <c r="P19" s="4">
        <f t="shared" si="3"/>
        <v>6900</v>
      </c>
      <c r="Q19" s="7" t="str">
        <f t="shared" si="4"/>
        <v>VIP</v>
      </c>
      <c r="R19" s="8">
        <f t="shared" si="5"/>
        <v>33</v>
      </c>
      <c r="S19" s="8" t="str">
        <f t="shared" si="6"/>
        <v>Bouzidi Amina</v>
      </c>
    </row>
    <row r="20" ht="14.25" customHeight="1">
      <c r="A20" s="4">
        <v>19.0</v>
      </c>
      <c r="B20" s="5" t="s">
        <v>96</v>
      </c>
      <c r="C20" s="5" t="s">
        <v>97</v>
      </c>
      <c r="D20" s="5" t="s">
        <v>98</v>
      </c>
      <c r="E20" s="5" t="s">
        <v>54</v>
      </c>
      <c r="F20" s="5" t="s">
        <v>23</v>
      </c>
      <c r="G20" s="5" t="s">
        <v>24</v>
      </c>
      <c r="H20" s="4">
        <v>2015.0</v>
      </c>
      <c r="I20" s="4">
        <v>147000.0</v>
      </c>
      <c r="J20" s="4" t="s">
        <v>25</v>
      </c>
      <c r="K20" s="6">
        <v>45677.0</v>
      </c>
      <c r="L20" s="4">
        <v>12.0</v>
      </c>
      <c r="M20" s="4">
        <v>2640.0</v>
      </c>
      <c r="N20" s="4">
        <f t="shared" si="1"/>
        <v>0.05</v>
      </c>
      <c r="O20" s="4">
        <f t="shared" si="2"/>
        <v>7350</v>
      </c>
      <c r="P20" s="4">
        <f t="shared" si="3"/>
        <v>9990</v>
      </c>
      <c r="Q20" s="7" t="str">
        <f t="shared" si="4"/>
        <v>VIP</v>
      </c>
      <c r="R20" s="8">
        <f t="shared" si="5"/>
        <v>18</v>
      </c>
      <c r="S20" s="8" t="str">
        <f t="shared" si="6"/>
        <v>El Mansouri Karim</v>
      </c>
    </row>
    <row r="21" ht="14.25" customHeight="1">
      <c r="A21" s="4">
        <v>20.0</v>
      </c>
      <c r="B21" s="5" t="s">
        <v>99</v>
      </c>
      <c r="C21" s="5" t="s">
        <v>100</v>
      </c>
      <c r="D21" s="5" t="s">
        <v>101</v>
      </c>
      <c r="E21" s="5" t="s">
        <v>49</v>
      </c>
      <c r="F21" s="5" t="s">
        <v>30</v>
      </c>
      <c r="G21" s="5" t="s">
        <v>31</v>
      </c>
      <c r="H21" s="4">
        <v>2016.0</v>
      </c>
      <c r="I21" s="4">
        <v>150000.0</v>
      </c>
      <c r="J21" s="4" t="s">
        <v>26</v>
      </c>
      <c r="K21" s="6">
        <v>45678.0</v>
      </c>
      <c r="L21" s="4">
        <v>12.0</v>
      </c>
      <c r="M21" s="4">
        <v>2700.0</v>
      </c>
      <c r="N21" s="4">
        <f t="shared" si="1"/>
        <v>0.06</v>
      </c>
      <c r="O21" s="4">
        <f t="shared" si="2"/>
        <v>9000</v>
      </c>
      <c r="P21" s="4">
        <f t="shared" si="3"/>
        <v>11700</v>
      </c>
      <c r="Q21" s="7" t="str">
        <f t="shared" si="4"/>
        <v>VIP</v>
      </c>
      <c r="R21" s="8">
        <f t="shared" si="5"/>
        <v>12</v>
      </c>
      <c r="S21" s="8" t="str">
        <f t="shared" si="6"/>
        <v>Haddad Latifa</v>
      </c>
    </row>
    <row r="22" ht="14.25" customHeight="1">
      <c r="A22" s="4">
        <v>21.0</v>
      </c>
      <c r="B22" s="5" t="s">
        <v>102</v>
      </c>
      <c r="C22" s="5" t="s">
        <v>103</v>
      </c>
      <c r="D22" s="5" t="s">
        <v>104</v>
      </c>
      <c r="E22" s="5" t="s">
        <v>43</v>
      </c>
      <c r="F22" s="5" t="s">
        <v>37</v>
      </c>
      <c r="G22" s="5" t="s">
        <v>38</v>
      </c>
      <c r="H22" s="4">
        <v>2017.0</v>
      </c>
      <c r="I22" s="4">
        <v>153000.0</v>
      </c>
      <c r="J22" s="4" t="s">
        <v>39</v>
      </c>
      <c r="K22" s="6">
        <v>45679.0</v>
      </c>
      <c r="L22" s="4">
        <v>12.0</v>
      </c>
      <c r="M22" s="4">
        <v>2760.0</v>
      </c>
      <c r="N22" s="4">
        <f t="shared" si="1"/>
        <v>0.03</v>
      </c>
      <c r="O22" s="4">
        <f t="shared" si="2"/>
        <v>4590</v>
      </c>
      <c r="P22" s="4">
        <f t="shared" si="3"/>
        <v>7350</v>
      </c>
      <c r="Q22" s="7" t="str">
        <f t="shared" si="4"/>
        <v>VIP</v>
      </c>
      <c r="R22" s="8">
        <f t="shared" si="5"/>
        <v>32</v>
      </c>
      <c r="S22" s="8" t="str">
        <f t="shared" si="6"/>
        <v>Berrada Ayoub</v>
      </c>
    </row>
    <row r="23" ht="14.25" customHeight="1">
      <c r="A23" s="4">
        <v>22.0</v>
      </c>
      <c r="B23" s="5" t="s">
        <v>105</v>
      </c>
      <c r="C23" s="5" t="s">
        <v>106</v>
      </c>
      <c r="D23" s="5" t="s">
        <v>107</v>
      </c>
      <c r="E23" s="5" t="s">
        <v>36</v>
      </c>
      <c r="F23" s="5" t="s">
        <v>23</v>
      </c>
      <c r="G23" s="5" t="s">
        <v>44</v>
      </c>
      <c r="H23" s="4">
        <v>2018.0</v>
      </c>
      <c r="I23" s="4">
        <v>156000.0</v>
      </c>
      <c r="J23" s="4" t="s">
        <v>25</v>
      </c>
      <c r="K23" s="6">
        <v>45680.0</v>
      </c>
      <c r="L23" s="4">
        <v>12.0</v>
      </c>
      <c r="M23" s="4">
        <v>2820.0</v>
      </c>
      <c r="N23" s="4">
        <f t="shared" si="1"/>
        <v>0.05</v>
      </c>
      <c r="O23" s="4">
        <f t="shared" si="2"/>
        <v>7800</v>
      </c>
      <c r="P23" s="4">
        <f t="shared" si="3"/>
        <v>10620</v>
      </c>
      <c r="Q23" s="7" t="str">
        <f t="shared" si="4"/>
        <v>VIP</v>
      </c>
      <c r="R23" s="8">
        <f t="shared" si="5"/>
        <v>15</v>
      </c>
      <c r="S23" s="8" t="str">
        <f t="shared" si="6"/>
        <v>Sbaai Hanane</v>
      </c>
    </row>
    <row r="24" ht="14.25" customHeight="1">
      <c r="A24" s="4">
        <v>23.0</v>
      </c>
      <c r="B24" s="5" t="s">
        <v>108</v>
      </c>
      <c r="C24" s="5" t="s">
        <v>109</v>
      </c>
      <c r="D24" s="5" t="s">
        <v>110</v>
      </c>
      <c r="E24" s="5" t="s">
        <v>54</v>
      </c>
      <c r="F24" s="5" t="s">
        <v>30</v>
      </c>
      <c r="G24" s="5" t="s">
        <v>50</v>
      </c>
      <c r="H24" s="4">
        <v>2019.0</v>
      </c>
      <c r="I24" s="4">
        <v>159000.0</v>
      </c>
      <c r="J24" s="4" t="s">
        <v>26</v>
      </c>
      <c r="K24" s="6">
        <v>45681.0</v>
      </c>
      <c r="L24" s="4">
        <v>12.0</v>
      </c>
      <c r="M24" s="4">
        <v>2880.0</v>
      </c>
      <c r="N24" s="4">
        <f t="shared" si="1"/>
        <v>0.06</v>
      </c>
      <c r="O24" s="4">
        <f t="shared" si="2"/>
        <v>9540</v>
      </c>
      <c r="P24" s="4">
        <f t="shared" si="3"/>
        <v>12420</v>
      </c>
      <c r="Q24" s="7" t="str">
        <f t="shared" si="4"/>
        <v>VIP</v>
      </c>
      <c r="R24" s="8">
        <f t="shared" si="5"/>
        <v>10</v>
      </c>
      <c r="S24" s="8" t="str">
        <f t="shared" si="6"/>
        <v>Ghazali Mehdi</v>
      </c>
    </row>
    <row r="25" ht="14.25" customHeight="1">
      <c r="A25" s="4">
        <v>24.0</v>
      </c>
      <c r="B25" s="5" t="s">
        <v>111</v>
      </c>
      <c r="C25" s="5" t="s">
        <v>112</v>
      </c>
      <c r="D25" s="5" t="s">
        <v>113</v>
      </c>
      <c r="E25" s="5" t="s">
        <v>43</v>
      </c>
      <c r="F25" s="5" t="s">
        <v>37</v>
      </c>
      <c r="G25" s="5" t="s">
        <v>55</v>
      </c>
      <c r="H25" s="4">
        <v>2020.0</v>
      </c>
      <c r="I25" s="4">
        <v>162000.0</v>
      </c>
      <c r="J25" s="4" t="s">
        <v>39</v>
      </c>
      <c r="K25" s="6">
        <v>45682.0</v>
      </c>
      <c r="L25" s="4">
        <v>12.0</v>
      </c>
      <c r="M25" s="4">
        <v>2940.0</v>
      </c>
      <c r="N25" s="4">
        <f t="shared" si="1"/>
        <v>0.03</v>
      </c>
      <c r="O25" s="4">
        <f t="shared" si="2"/>
        <v>4860</v>
      </c>
      <c r="P25" s="4">
        <f t="shared" si="3"/>
        <v>7800</v>
      </c>
      <c r="Q25" s="7" t="str">
        <f t="shared" si="4"/>
        <v>VIP</v>
      </c>
      <c r="R25" s="8">
        <f t="shared" si="5"/>
        <v>29</v>
      </c>
      <c r="S25" s="8" t="str">
        <f t="shared" si="6"/>
        <v>Benkirane Samir</v>
      </c>
    </row>
    <row r="26" ht="14.25" customHeight="1">
      <c r="A26" s="4">
        <v>25.0</v>
      </c>
      <c r="B26" s="5" t="s">
        <v>114</v>
      </c>
      <c r="C26" s="5" t="s">
        <v>115</v>
      </c>
      <c r="D26" s="5" t="s">
        <v>116</v>
      </c>
      <c r="E26" s="5" t="s">
        <v>49</v>
      </c>
      <c r="F26" s="5" t="s">
        <v>23</v>
      </c>
      <c r="G26" s="5" t="s">
        <v>24</v>
      </c>
      <c r="H26" s="4">
        <v>2021.0</v>
      </c>
      <c r="I26" s="4">
        <v>165000.0</v>
      </c>
      <c r="J26" s="4" t="s">
        <v>25</v>
      </c>
      <c r="K26" s="6">
        <v>45683.0</v>
      </c>
      <c r="L26" s="4">
        <v>12.0</v>
      </c>
      <c r="M26" s="4">
        <v>3000.0</v>
      </c>
      <c r="N26" s="4">
        <f t="shared" si="1"/>
        <v>0.05</v>
      </c>
      <c r="O26" s="4">
        <f t="shared" si="2"/>
        <v>8250</v>
      </c>
      <c r="P26" s="4">
        <f t="shared" si="3"/>
        <v>11250</v>
      </c>
      <c r="Q26" s="7" t="str">
        <f t="shared" si="4"/>
        <v>VIP</v>
      </c>
      <c r="R26" s="8">
        <f t="shared" si="5"/>
        <v>13</v>
      </c>
      <c r="S26" s="8" t="str">
        <f t="shared" si="6"/>
        <v>El Khatib Meriem</v>
      </c>
    </row>
    <row r="27" ht="14.25" hidden="1" customHeight="1">
      <c r="A27" s="4">
        <v>26.0</v>
      </c>
      <c r="B27" s="5" t="s">
        <v>117</v>
      </c>
      <c r="C27" s="5" t="s">
        <v>118</v>
      </c>
      <c r="D27" s="5" t="s">
        <v>119</v>
      </c>
      <c r="E27" s="5" t="s">
        <v>22</v>
      </c>
      <c r="F27" s="5" t="s">
        <v>30</v>
      </c>
      <c r="G27" s="5" t="s">
        <v>31</v>
      </c>
      <c r="H27" s="4">
        <v>2022.0</v>
      </c>
      <c r="I27" s="4">
        <v>168000.0</v>
      </c>
      <c r="J27" s="4" t="s">
        <v>26</v>
      </c>
      <c r="K27" s="6">
        <v>45684.0</v>
      </c>
      <c r="L27" s="4">
        <v>12.0</v>
      </c>
      <c r="M27" s="4">
        <v>3060.0</v>
      </c>
      <c r="N27" s="4">
        <f t="shared" si="1"/>
        <v>0.06</v>
      </c>
      <c r="O27" s="4">
        <f t="shared" si="2"/>
        <v>10080</v>
      </c>
      <c r="P27" s="4">
        <f t="shared" si="3"/>
        <v>13140</v>
      </c>
      <c r="Q27" s="4" t="str">
        <f t="shared" si="4"/>
        <v>VIP</v>
      </c>
      <c r="R27" s="10">
        <f t="shared" si="5"/>
        <v>7</v>
      </c>
      <c r="S27" s="10" t="str">
        <f t="shared" si="6"/>
        <v>Azizi Hamza</v>
      </c>
    </row>
    <row r="28" ht="14.25" customHeight="1">
      <c r="A28" s="4">
        <v>27.0</v>
      </c>
      <c r="B28" s="5" t="s">
        <v>120</v>
      </c>
      <c r="C28" s="5" t="s">
        <v>121</v>
      </c>
      <c r="D28" s="5" t="s">
        <v>122</v>
      </c>
      <c r="E28" s="5" t="s">
        <v>54</v>
      </c>
      <c r="F28" s="5" t="s">
        <v>37</v>
      </c>
      <c r="G28" s="5" t="s">
        <v>38</v>
      </c>
      <c r="H28" s="4">
        <v>2023.0</v>
      </c>
      <c r="I28" s="4">
        <v>171000.0</v>
      </c>
      <c r="J28" s="4" t="s">
        <v>39</v>
      </c>
      <c r="K28" s="6">
        <v>45685.0</v>
      </c>
      <c r="L28" s="4">
        <v>12.0</v>
      </c>
      <c r="M28" s="4">
        <v>3120.0</v>
      </c>
      <c r="N28" s="4">
        <f t="shared" si="1"/>
        <v>0.03</v>
      </c>
      <c r="O28" s="4">
        <f t="shared" si="2"/>
        <v>5130</v>
      </c>
      <c r="P28" s="4">
        <f t="shared" si="3"/>
        <v>8250</v>
      </c>
      <c r="Q28" s="7" t="str">
        <f t="shared" si="4"/>
        <v>VIP</v>
      </c>
      <c r="R28" s="8">
        <f t="shared" si="5"/>
        <v>26</v>
      </c>
      <c r="S28" s="8" t="str">
        <f t="shared" si="6"/>
        <v>Raiss Nour</v>
      </c>
    </row>
    <row r="29" ht="14.25" customHeight="1">
      <c r="A29" s="4">
        <v>28.0</v>
      </c>
      <c r="B29" s="5" t="s">
        <v>123</v>
      </c>
      <c r="C29" s="5" t="s">
        <v>124</v>
      </c>
      <c r="D29" s="5" t="s">
        <v>125</v>
      </c>
      <c r="E29" s="5" t="s">
        <v>36</v>
      </c>
      <c r="F29" s="5" t="s">
        <v>23</v>
      </c>
      <c r="G29" s="5" t="s">
        <v>44</v>
      </c>
      <c r="H29" s="4">
        <v>2010.0</v>
      </c>
      <c r="I29" s="4">
        <v>174000.0</v>
      </c>
      <c r="J29" s="4" t="s">
        <v>25</v>
      </c>
      <c r="K29" s="6">
        <v>45658.0</v>
      </c>
      <c r="L29" s="4">
        <v>12.0</v>
      </c>
      <c r="M29" s="4">
        <v>3180.0</v>
      </c>
      <c r="N29" s="4">
        <f t="shared" si="1"/>
        <v>0.05</v>
      </c>
      <c r="O29" s="4">
        <f t="shared" si="2"/>
        <v>8700</v>
      </c>
      <c r="P29" s="4">
        <f t="shared" si="3"/>
        <v>11880</v>
      </c>
      <c r="Q29" s="7" t="str">
        <f t="shared" si="4"/>
        <v>VIP</v>
      </c>
      <c r="R29" s="8">
        <f t="shared" si="5"/>
        <v>11</v>
      </c>
      <c r="S29" s="8" t="str">
        <f t="shared" si="6"/>
        <v>Fadili Abdelkader</v>
      </c>
    </row>
    <row r="30" ht="14.25" customHeight="1">
      <c r="A30" s="4">
        <v>29.0</v>
      </c>
      <c r="B30" s="5" t="s">
        <v>126</v>
      </c>
      <c r="C30" s="5" t="s">
        <v>127</v>
      </c>
      <c r="D30" s="5" t="s">
        <v>128</v>
      </c>
      <c r="E30" s="5" t="s">
        <v>43</v>
      </c>
      <c r="F30" s="5" t="s">
        <v>30</v>
      </c>
      <c r="G30" s="5" t="s">
        <v>50</v>
      </c>
      <c r="H30" s="4">
        <v>2011.0</v>
      </c>
      <c r="I30" s="4">
        <v>177000.0</v>
      </c>
      <c r="J30" s="4" t="s">
        <v>26</v>
      </c>
      <c r="K30" s="6">
        <v>45659.0</v>
      </c>
      <c r="L30" s="4">
        <v>12.0</v>
      </c>
      <c r="M30" s="4">
        <v>3240.0</v>
      </c>
      <c r="N30" s="4">
        <f t="shared" si="1"/>
        <v>0.06</v>
      </c>
      <c r="O30" s="4">
        <f t="shared" si="2"/>
        <v>10620</v>
      </c>
      <c r="P30" s="4">
        <f t="shared" si="3"/>
        <v>13860</v>
      </c>
      <c r="Q30" s="7" t="str">
        <f t="shared" si="4"/>
        <v>VIP</v>
      </c>
      <c r="R30" s="8">
        <f t="shared" si="5"/>
        <v>5</v>
      </c>
      <c r="S30" s="8" t="str">
        <f t="shared" si="6"/>
        <v>Kouhen Lina</v>
      </c>
    </row>
    <row r="31" ht="14.25" customHeight="1">
      <c r="A31" s="4">
        <v>30.0</v>
      </c>
      <c r="B31" s="5" t="s">
        <v>129</v>
      </c>
      <c r="C31" s="5" t="s">
        <v>130</v>
      </c>
      <c r="D31" s="5" t="s">
        <v>131</v>
      </c>
      <c r="E31" s="5" t="s">
        <v>49</v>
      </c>
      <c r="F31" s="5" t="s">
        <v>37</v>
      </c>
      <c r="G31" s="5" t="s">
        <v>55</v>
      </c>
      <c r="H31" s="4">
        <v>2012.0</v>
      </c>
      <c r="I31" s="4">
        <v>180000.0</v>
      </c>
      <c r="J31" s="4" t="s">
        <v>39</v>
      </c>
      <c r="K31" s="6">
        <v>45660.0</v>
      </c>
      <c r="L31" s="4">
        <v>12.0</v>
      </c>
      <c r="M31" s="4">
        <v>3300.0</v>
      </c>
      <c r="N31" s="4">
        <f t="shared" si="1"/>
        <v>0.03</v>
      </c>
      <c r="O31" s="4">
        <f t="shared" si="2"/>
        <v>5400</v>
      </c>
      <c r="P31" s="4">
        <f t="shared" si="3"/>
        <v>8700</v>
      </c>
      <c r="Q31" s="7" t="str">
        <f t="shared" si="4"/>
        <v>VIP</v>
      </c>
      <c r="R31" s="8">
        <f t="shared" si="5"/>
        <v>25</v>
      </c>
      <c r="S31" s="8" t="str">
        <f t="shared" si="6"/>
        <v>Smires Younes</v>
      </c>
    </row>
    <row r="32" ht="14.25" customHeight="1">
      <c r="A32" s="4">
        <v>31.0</v>
      </c>
      <c r="B32" s="5" t="s">
        <v>132</v>
      </c>
      <c r="C32" s="5" t="s">
        <v>133</v>
      </c>
      <c r="D32" s="5" t="s">
        <v>134</v>
      </c>
      <c r="E32" s="5" t="s">
        <v>54</v>
      </c>
      <c r="F32" s="5" t="s">
        <v>23</v>
      </c>
      <c r="G32" s="5" t="s">
        <v>24</v>
      </c>
      <c r="H32" s="4">
        <v>2013.0</v>
      </c>
      <c r="I32" s="4">
        <v>183000.0</v>
      </c>
      <c r="J32" s="4" t="s">
        <v>25</v>
      </c>
      <c r="K32" s="6">
        <v>45661.0</v>
      </c>
      <c r="L32" s="4">
        <v>12.0</v>
      </c>
      <c r="M32" s="4">
        <v>3360.0</v>
      </c>
      <c r="N32" s="4">
        <f t="shared" si="1"/>
        <v>0.05</v>
      </c>
      <c r="O32" s="4">
        <f t="shared" si="2"/>
        <v>9150</v>
      </c>
      <c r="P32" s="4">
        <f t="shared" si="3"/>
        <v>12510</v>
      </c>
      <c r="Q32" s="7" t="str">
        <f t="shared" si="4"/>
        <v>VIP</v>
      </c>
      <c r="R32" s="8">
        <f t="shared" si="5"/>
        <v>9</v>
      </c>
      <c r="S32" s="8" t="str">
        <f t="shared" si="6"/>
        <v>Bounou Ikram</v>
      </c>
    </row>
    <row r="33" ht="14.25" customHeight="1">
      <c r="A33" s="4">
        <v>32.0</v>
      </c>
      <c r="B33" s="5" t="s">
        <v>135</v>
      </c>
      <c r="C33" s="5" t="s">
        <v>136</v>
      </c>
      <c r="D33" s="5" t="s">
        <v>137</v>
      </c>
      <c r="E33" s="5" t="s">
        <v>36</v>
      </c>
      <c r="F33" s="5" t="s">
        <v>30</v>
      </c>
      <c r="G33" s="5" t="s">
        <v>31</v>
      </c>
      <c r="H33" s="4">
        <v>2014.0</v>
      </c>
      <c r="I33" s="4">
        <v>186000.0</v>
      </c>
      <c r="J33" s="4" t="s">
        <v>26</v>
      </c>
      <c r="K33" s="6">
        <v>45662.0</v>
      </c>
      <c r="L33" s="4">
        <v>12.0</v>
      </c>
      <c r="M33" s="4">
        <v>3420.0</v>
      </c>
      <c r="N33" s="4">
        <f t="shared" si="1"/>
        <v>0.06</v>
      </c>
      <c r="O33" s="4">
        <f t="shared" si="2"/>
        <v>11160</v>
      </c>
      <c r="P33" s="4">
        <f t="shared" si="3"/>
        <v>14580</v>
      </c>
      <c r="Q33" s="7" t="str">
        <f t="shared" si="4"/>
        <v>VIP</v>
      </c>
      <c r="R33" s="8">
        <f t="shared" si="5"/>
        <v>3</v>
      </c>
      <c r="S33" s="8" t="str">
        <f t="shared" si="6"/>
        <v>El Hachimi Said</v>
      </c>
    </row>
    <row r="34" ht="14.25" customHeight="1">
      <c r="A34" s="4">
        <v>33.0</v>
      </c>
      <c r="B34" s="5" t="s">
        <v>138</v>
      </c>
      <c r="C34" s="5" t="s">
        <v>139</v>
      </c>
      <c r="D34" s="5" t="s">
        <v>140</v>
      </c>
      <c r="E34" s="5" t="s">
        <v>43</v>
      </c>
      <c r="F34" s="5" t="s">
        <v>37</v>
      </c>
      <c r="G34" s="5" t="s">
        <v>38</v>
      </c>
      <c r="H34" s="4">
        <v>2015.0</v>
      </c>
      <c r="I34" s="4">
        <v>189000.0</v>
      </c>
      <c r="J34" s="4" t="s">
        <v>39</v>
      </c>
      <c r="K34" s="6">
        <v>45663.0</v>
      </c>
      <c r="L34" s="4">
        <v>12.0</v>
      </c>
      <c r="M34" s="4">
        <v>3480.0</v>
      </c>
      <c r="N34" s="4">
        <f t="shared" si="1"/>
        <v>0.03</v>
      </c>
      <c r="O34" s="4">
        <f t="shared" si="2"/>
        <v>5670</v>
      </c>
      <c r="P34" s="4">
        <f t="shared" si="3"/>
        <v>9150</v>
      </c>
      <c r="Q34" s="7" t="str">
        <f t="shared" si="4"/>
        <v>VIP</v>
      </c>
      <c r="R34" s="8">
        <f t="shared" si="5"/>
        <v>22</v>
      </c>
      <c r="S34" s="8" t="str">
        <f t="shared" si="6"/>
        <v>Zayani Rania</v>
      </c>
    </row>
    <row r="35" ht="14.25" customHeight="1">
      <c r="A35" s="4">
        <v>34.0</v>
      </c>
      <c r="B35" s="5" t="s">
        <v>141</v>
      </c>
      <c r="C35" s="5" t="s">
        <v>142</v>
      </c>
      <c r="D35" s="5" t="s">
        <v>143</v>
      </c>
      <c r="E35" s="5" t="s">
        <v>49</v>
      </c>
      <c r="F35" s="5" t="s">
        <v>23</v>
      </c>
      <c r="G35" s="5" t="s">
        <v>44</v>
      </c>
      <c r="H35" s="4">
        <v>2016.0</v>
      </c>
      <c r="I35" s="4">
        <v>192000.0</v>
      </c>
      <c r="J35" s="4" t="s">
        <v>25</v>
      </c>
      <c r="K35" s="6">
        <v>45664.0</v>
      </c>
      <c r="L35" s="4">
        <v>12.0</v>
      </c>
      <c r="M35" s="4">
        <v>3540.0</v>
      </c>
      <c r="N35" s="4">
        <f t="shared" si="1"/>
        <v>0.05</v>
      </c>
      <c r="O35" s="4">
        <f t="shared" si="2"/>
        <v>9600</v>
      </c>
      <c r="P35" s="4">
        <f t="shared" si="3"/>
        <v>13140</v>
      </c>
      <c r="Q35" s="7" t="str">
        <f t="shared" si="4"/>
        <v>VIP</v>
      </c>
      <c r="R35" s="8">
        <f t="shared" si="5"/>
        <v>7</v>
      </c>
      <c r="S35" s="8" t="str">
        <f t="shared" si="6"/>
        <v>Belaid Yassir</v>
      </c>
    </row>
    <row r="36" ht="14.25" customHeight="1">
      <c r="A36" s="4">
        <v>35.0</v>
      </c>
      <c r="B36" s="5" t="s">
        <v>144</v>
      </c>
      <c r="C36" s="5" t="s">
        <v>145</v>
      </c>
      <c r="D36" s="5" t="s">
        <v>146</v>
      </c>
      <c r="E36" s="5" t="s">
        <v>22</v>
      </c>
      <c r="F36" s="5" t="s">
        <v>30</v>
      </c>
      <c r="G36" s="5" t="s">
        <v>50</v>
      </c>
      <c r="H36" s="4">
        <v>2017.0</v>
      </c>
      <c r="I36" s="4">
        <v>195000.0</v>
      </c>
      <c r="J36" s="4" t="s">
        <v>26</v>
      </c>
      <c r="K36" s="6">
        <v>45665.0</v>
      </c>
      <c r="L36" s="4">
        <v>12.0</v>
      </c>
      <c r="M36" s="4">
        <v>3600.0</v>
      </c>
      <c r="N36" s="4">
        <f t="shared" si="1"/>
        <v>0.06</v>
      </c>
      <c r="O36" s="4">
        <f t="shared" si="2"/>
        <v>11700</v>
      </c>
      <c r="P36" s="4">
        <f t="shared" si="3"/>
        <v>15300</v>
      </c>
      <c r="Q36" s="7" t="str">
        <f t="shared" si="4"/>
        <v>VIP</v>
      </c>
      <c r="R36" s="8">
        <f t="shared" si="5"/>
        <v>2</v>
      </c>
      <c r="S36" s="8" t="str">
        <f t="shared" si="6"/>
        <v>Ouhmid Malika</v>
      </c>
    </row>
    <row r="37" ht="14.25" customHeight="1">
      <c r="A37" s="4">
        <v>36.0</v>
      </c>
      <c r="B37" s="5" t="s">
        <v>147</v>
      </c>
      <c r="C37" s="5" t="s">
        <v>148</v>
      </c>
      <c r="D37" s="5" t="s">
        <v>149</v>
      </c>
      <c r="E37" s="5" t="s">
        <v>54</v>
      </c>
      <c r="F37" s="5" t="s">
        <v>37</v>
      </c>
      <c r="G37" s="5" t="s">
        <v>55</v>
      </c>
      <c r="H37" s="4">
        <v>2018.0</v>
      </c>
      <c r="I37" s="4">
        <v>198000.0</v>
      </c>
      <c r="J37" s="4" t="s">
        <v>39</v>
      </c>
      <c r="K37" s="6">
        <v>45666.0</v>
      </c>
      <c r="L37" s="4">
        <v>12.0</v>
      </c>
      <c r="M37" s="4">
        <v>3660.0</v>
      </c>
      <c r="N37" s="4">
        <f t="shared" si="1"/>
        <v>0.03</v>
      </c>
      <c r="O37" s="4">
        <f t="shared" si="2"/>
        <v>5940</v>
      </c>
      <c r="P37" s="4">
        <f t="shared" si="3"/>
        <v>9600</v>
      </c>
      <c r="Q37" s="7" t="str">
        <f t="shared" si="4"/>
        <v>VIP</v>
      </c>
      <c r="R37" s="8">
        <f t="shared" si="5"/>
        <v>19</v>
      </c>
      <c r="S37" s="8" t="str">
        <f t="shared" si="6"/>
        <v>Hami Reda</v>
      </c>
    </row>
    <row r="38" ht="14.25" customHeight="1">
      <c r="A38" s="4">
        <v>37.0</v>
      </c>
      <c r="B38" s="5" t="s">
        <v>150</v>
      </c>
      <c r="C38" s="5" t="s">
        <v>151</v>
      </c>
      <c r="D38" s="5" t="s">
        <v>152</v>
      </c>
      <c r="E38" s="5" t="s">
        <v>36</v>
      </c>
      <c r="F38" s="5" t="s">
        <v>23</v>
      </c>
      <c r="G38" s="5" t="s">
        <v>24</v>
      </c>
      <c r="H38" s="4">
        <v>2019.0</v>
      </c>
      <c r="I38" s="4">
        <v>201000.0</v>
      </c>
      <c r="J38" s="4" t="s">
        <v>25</v>
      </c>
      <c r="K38" s="6">
        <v>45667.0</v>
      </c>
      <c r="L38" s="4">
        <v>12.0</v>
      </c>
      <c r="M38" s="4">
        <v>3720.0</v>
      </c>
      <c r="N38" s="4">
        <f t="shared" si="1"/>
        <v>0.05</v>
      </c>
      <c r="O38" s="4">
        <f t="shared" si="2"/>
        <v>10050</v>
      </c>
      <c r="P38" s="4">
        <f t="shared" si="3"/>
        <v>13770</v>
      </c>
      <c r="Q38" s="7" t="str">
        <f t="shared" si="4"/>
        <v>VIP</v>
      </c>
      <c r="R38" s="8">
        <f t="shared" si="5"/>
        <v>6</v>
      </c>
      <c r="S38" s="8" t="str">
        <f t="shared" si="6"/>
        <v>El Mouden Jamal</v>
      </c>
    </row>
    <row r="39" ht="14.25" customHeight="1">
      <c r="A39" s="4">
        <v>38.0</v>
      </c>
      <c r="B39" s="5" t="s">
        <v>153</v>
      </c>
      <c r="C39" s="5" t="s">
        <v>154</v>
      </c>
      <c r="D39" s="5" t="s">
        <v>155</v>
      </c>
      <c r="E39" s="5" t="s">
        <v>43</v>
      </c>
      <c r="F39" s="5" t="s">
        <v>30</v>
      </c>
      <c r="G39" s="5" t="s">
        <v>31</v>
      </c>
      <c r="H39" s="4">
        <v>2020.0</v>
      </c>
      <c r="I39" s="4">
        <v>204000.0</v>
      </c>
      <c r="J39" s="4" t="s">
        <v>26</v>
      </c>
      <c r="K39" s="6">
        <v>45668.0</v>
      </c>
      <c r="L39" s="4">
        <v>12.0</v>
      </c>
      <c r="M39" s="4">
        <v>3780.0</v>
      </c>
      <c r="N39" s="4">
        <f t="shared" si="1"/>
        <v>0.06</v>
      </c>
      <c r="O39" s="4">
        <f t="shared" si="2"/>
        <v>12240</v>
      </c>
      <c r="P39" s="4">
        <f t="shared" si="3"/>
        <v>16020</v>
      </c>
      <c r="Q39" s="7" t="str">
        <f t="shared" si="4"/>
        <v>VIP</v>
      </c>
      <c r="R39" s="8">
        <f t="shared" si="5"/>
        <v>1</v>
      </c>
      <c r="S39" s="8" t="str">
        <f t="shared" si="6"/>
        <v>Karrouchi Ilham</v>
      </c>
    </row>
    <row r="40" ht="14.25" customHeight="1">
      <c r="A40" s="4">
        <v>39.0</v>
      </c>
      <c r="B40" s="5" t="s">
        <v>156</v>
      </c>
      <c r="C40" s="5" t="s">
        <v>157</v>
      </c>
      <c r="D40" s="5" t="s">
        <v>158</v>
      </c>
      <c r="E40" s="5" t="s">
        <v>49</v>
      </c>
      <c r="F40" s="5" t="s">
        <v>37</v>
      </c>
      <c r="G40" s="5" t="s">
        <v>38</v>
      </c>
      <c r="H40" s="4">
        <v>2021.0</v>
      </c>
      <c r="I40" s="4">
        <v>207000.0</v>
      </c>
      <c r="J40" s="4" t="s">
        <v>39</v>
      </c>
      <c r="K40" s="6">
        <v>45669.0</v>
      </c>
      <c r="L40" s="4">
        <v>12.0</v>
      </c>
      <c r="M40" s="4">
        <v>3840.0</v>
      </c>
      <c r="N40" s="4">
        <f t="shared" si="1"/>
        <v>0.03</v>
      </c>
      <c r="O40" s="4">
        <f t="shared" si="2"/>
        <v>6210</v>
      </c>
      <c r="P40" s="4">
        <f t="shared" si="3"/>
        <v>10050</v>
      </c>
      <c r="Q40" s="7" t="str">
        <f t="shared" si="4"/>
        <v>VIP</v>
      </c>
      <c r="R40" s="8">
        <f t="shared" si="5"/>
        <v>17</v>
      </c>
      <c r="S40" s="8" t="str">
        <f t="shared" si="6"/>
        <v>Benchekroun Adil</v>
      </c>
    </row>
    <row r="41" ht="14.25" hidden="1" customHeight="1">
      <c r="A41" s="4">
        <v>40.0</v>
      </c>
      <c r="B41" s="5" t="s">
        <v>159</v>
      </c>
      <c r="C41" s="5" t="s">
        <v>160</v>
      </c>
      <c r="D41" s="5" t="s">
        <v>161</v>
      </c>
      <c r="E41" s="5" t="s">
        <v>22</v>
      </c>
      <c r="F41" s="5" t="s">
        <v>23</v>
      </c>
      <c r="G41" s="5" t="s">
        <v>44</v>
      </c>
      <c r="H41" s="4">
        <v>2022.0</v>
      </c>
      <c r="I41" s="4">
        <v>210000.0</v>
      </c>
      <c r="J41" s="4" t="s">
        <v>25</v>
      </c>
      <c r="K41" s="6">
        <v>45670.0</v>
      </c>
      <c r="L41" s="4">
        <v>12.0</v>
      </c>
      <c r="M41" s="4">
        <v>3900.0</v>
      </c>
      <c r="N41" s="4">
        <f t="shared" si="1"/>
        <v>0.05</v>
      </c>
      <c r="O41" s="4">
        <f t="shared" si="2"/>
        <v>10500</v>
      </c>
      <c r="P41" s="4">
        <f t="shared" si="3"/>
        <v>14400</v>
      </c>
      <c r="Q41" s="4" t="str">
        <f t="shared" si="4"/>
        <v>VIP</v>
      </c>
      <c r="R41" s="10">
        <f t="shared" si="5"/>
        <v>4</v>
      </c>
      <c r="S41" s="10" t="str">
        <f t="shared" si="6"/>
        <v>Ait Brahim Naima</v>
      </c>
    </row>
    <row r="42" ht="14.25" customHeight="1">
      <c r="B42" s="11"/>
      <c r="C42" s="11"/>
      <c r="D42" s="11"/>
      <c r="E42" s="11"/>
      <c r="F42" s="11"/>
      <c r="G42" s="11"/>
    </row>
    <row r="43" ht="14.25" customHeight="1">
      <c r="B43" s="11"/>
      <c r="C43" s="11"/>
      <c r="D43" s="11"/>
      <c r="E43" s="11"/>
      <c r="F43" s="11"/>
      <c r="G43" s="11"/>
    </row>
    <row r="44" ht="14.25" customHeight="1">
      <c r="B44" s="11"/>
      <c r="C44" s="11"/>
      <c r="D44" s="11"/>
      <c r="E44" s="11"/>
      <c r="F44" s="11"/>
      <c r="G44" s="11"/>
    </row>
    <row r="45" ht="14.25" customHeight="1">
      <c r="B45" s="11"/>
      <c r="C45" s="11"/>
      <c r="D45" s="11"/>
      <c r="E45" s="11"/>
      <c r="F45" s="11"/>
      <c r="G45" s="11"/>
    </row>
    <row r="46" ht="14.25" customHeight="1">
      <c r="B46" s="11"/>
      <c r="C46" s="11"/>
      <c r="D46" s="11"/>
      <c r="E46" s="11"/>
      <c r="F46" s="11"/>
      <c r="G46" s="11"/>
    </row>
    <row r="47" ht="14.25" customHeight="1">
      <c r="B47" s="11"/>
      <c r="C47" s="11"/>
      <c r="D47" s="11"/>
      <c r="E47" s="11"/>
      <c r="F47" s="11"/>
      <c r="G47" s="11"/>
    </row>
    <row r="48" ht="14.25" customHeight="1">
      <c r="B48" s="11"/>
      <c r="C48" s="11"/>
      <c r="D48" s="11"/>
      <c r="E48" s="11"/>
      <c r="F48" s="11"/>
      <c r="G48" s="11"/>
    </row>
    <row r="49" ht="14.25" customHeight="1">
      <c r="B49" s="11"/>
      <c r="C49" s="11"/>
      <c r="D49" s="11"/>
      <c r="E49" s="11"/>
      <c r="F49" s="11"/>
      <c r="G49" s="11"/>
    </row>
    <row r="50" ht="14.25" customHeight="1">
      <c r="B50" s="11"/>
      <c r="C50" s="11"/>
      <c r="D50" s="11"/>
      <c r="E50" s="11"/>
      <c r="F50" s="11"/>
      <c r="G50" s="11"/>
    </row>
    <row r="51" ht="14.25" customHeight="1">
      <c r="B51" s="11"/>
      <c r="C51" s="11"/>
      <c r="D51" s="11"/>
      <c r="E51" s="11"/>
      <c r="F51" s="11"/>
      <c r="G51" s="11"/>
    </row>
    <row r="52" ht="14.25" customHeight="1">
      <c r="B52" s="11"/>
      <c r="C52" s="11"/>
      <c r="D52" s="11"/>
      <c r="E52" s="11"/>
      <c r="F52" s="11"/>
      <c r="G52" s="11"/>
    </row>
    <row r="53" ht="14.25" customHeight="1">
      <c r="B53" s="11"/>
      <c r="C53" s="11"/>
      <c r="D53" s="11"/>
      <c r="E53" s="11"/>
      <c r="F53" s="11"/>
      <c r="G53" s="11"/>
    </row>
    <row r="54" ht="14.25" customHeight="1">
      <c r="B54" s="11"/>
      <c r="C54" s="11"/>
      <c r="D54" s="11"/>
      <c r="E54" s="11"/>
      <c r="F54" s="11"/>
      <c r="G54" s="11"/>
    </row>
    <row r="55" ht="14.25" customHeight="1">
      <c r="B55" s="11"/>
      <c r="C55" s="11"/>
      <c r="D55" s="11"/>
      <c r="E55" s="11"/>
      <c r="F55" s="11"/>
      <c r="G55" s="11"/>
    </row>
    <row r="56" ht="14.25" customHeight="1">
      <c r="B56" s="11"/>
      <c r="C56" s="11"/>
      <c r="D56" s="11"/>
      <c r="E56" s="11"/>
      <c r="F56" s="11"/>
      <c r="G56" s="11"/>
    </row>
    <row r="57" ht="14.25" customHeight="1">
      <c r="B57" s="11"/>
      <c r="C57" s="11"/>
      <c r="D57" s="11"/>
      <c r="E57" s="11"/>
      <c r="F57" s="11"/>
      <c r="G57" s="11"/>
    </row>
    <row r="58" ht="14.25" customHeight="1">
      <c r="B58" s="11"/>
      <c r="C58" s="11"/>
      <c r="D58" s="11"/>
      <c r="E58" s="11"/>
      <c r="F58" s="11"/>
      <c r="G58" s="11"/>
    </row>
    <row r="59" ht="14.25" customHeight="1">
      <c r="B59" s="11"/>
      <c r="C59" s="11"/>
      <c r="D59" s="11"/>
      <c r="E59" s="11"/>
      <c r="F59" s="11"/>
      <c r="G59" s="11"/>
    </row>
    <row r="60" ht="14.25" customHeight="1">
      <c r="B60" s="11"/>
      <c r="C60" s="11"/>
      <c r="D60" s="11"/>
      <c r="E60" s="11"/>
      <c r="F60" s="11"/>
      <c r="G60" s="11"/>
    </row>
    <row r="61" ht="14.25" customHeight="1">
      <c r="B61" s="11"/>
      <c r="C61" s="11"/>
      <c r="D61" s="11"/>
      <c r="E61" s="11"/>
      <c r="F61" s="11"/>
      <c r="G61" s="11"/>
    </row>
    <row r="62" ht="14.25" customHeight="1">
      <c r="B62" s="11"/>
      <c r="C62" s="11"/>
      <c r="D62" s="11"/>
      <c r="E62" s="11"/>
      <c r="F62" s="11"/>
      <c r="G62" s="11"/>
    </row>
    <row r="63" ht="14.25" customHeight="1">
      <c r="B63" s="11"/>
      <c r="C63" s="11"/>
      <c r="D63" s="11"/>
      <c r="E63" s="11"/>
      <c r="F63" s="11"/>
      <c r="G63" s="11"/>
    </row>
    <row r="64" ht="14.25" customHeight="1">
      <c r="B64" s="11"/>
      <c r="C64" s="11"/>
      <c r="D64" s="11"/>
      <c r="E64" s="11"/>
      <c r="F64" s="11"/>
      <c r="G64" s="11"/>
    </row>
    <row r="65" ht="14.25" customHeight="1">
      <c r="B65" s="11"/>
      <c r="C65" s="11"/>
      <c r="D65" s="11"/>
      <c r="E65" s="11"/>
      <c r="F65" s="11"/>
      <c r="G65" s="11"/>
    </row>
    <row r="66" ht="14.25" customHeight="1">
      <c r="B66" s="11"/>
      <c r="C66" s="11"/>
      <c r="D66" s="11"/>
      <c r="E66" s="11"/>
      <c r="F66" s="11"/>
      <c r="G66" s="11"/>
    </row>
    <row r="67" ht="14.25" customHeight="1">
      <c r="B67" s="11"/>
      <c r="C67" s="11"/>
      <c r="D67" s="11"/>
      <c r="E67" s="11"/>
      <c r="F67" s="11"/>
      <c r="G67" s="11"/>
    </row>
    <row r="68" ht="14.25" customHeight="1">
      <c r="B68" s="11"/>
      <c r="C68" s="11"/>
      <c r="D68" s="11"/>
      <c r="E68" s="11"/>
      <c r="F68" s="11"/>
      <c r="G68" s="11"/>
    </row>
    <row r="69" ht="14.25" customHeight="1">
      <c r="B69" s="11"/>
      <c r="C69" s="11"/>
      <c r="D69" s="11"/>
      <c r="E69" s="11"/>
      <c r="F69" s="11"/>
      <c r="G69" s="11"/>
    </row>
    <row r="70" ht="14.25" customHeight="1">
      <c r="B70" s="11"/>
      <c r="C70" s="11"/>
      <c r="D70" s="11"/>
      <c r="E70" s="11"/>
      <c r="F70" s="11"/>
      <c r="G70" s="11"/>
    </row>
    <row r="71" ht="14.25" customHeight="1">
      <c r="B71" s="11"/>
      <c r="C71" s="11"/>
      <c r="D71" s="11"/>
      <c r="E71" s="11"/>
      <c r="F71" s="11"/>
      <c r="G71" s="11"/>
    </row>
    <row r="72" ht="14.25" customHeight="1">
      <c r="B72" s="11"/>
      <c r="C72" s="11"/>
      <c r="D72" s="11"/>
      <c r="E72" s="11"/>
      <c r="F72" s="11"/>
      <c r="G72" s="11"/>
    </row>
    <row r="73" ht="14.25" customHeight="1">
      <c r="B73" s="11"/>
      <c r="C73" s="11"/>
      <c r="D73" s="11"/>
      <c r="E73" s="11"/>
      <c r="F73" s="11"/>
      <c r="G73" s="11"/>
    </row>
    <row r="74" ht="14.25" customHeight="1">
      <c r="B74" s="11"/>
      <c r="C74" s="11"/>
      <c r="D74" s="11"/>
      <c r="E74" s="11"/>
      <c r="F74" s="11"/>
      <c r="G74" s="11"/>
    </row>
    <row r="75" ht="14.25" customHeight="1">
      <c r="B75" s="11"/>
      <c r="C75" s="11"/>
      <c r="D75" s="11"/>
      <c r="E75" s="11"/>
      <c r="F75" s="11"/>
      <c r="G75" s="11"/>
    </row>
    <row r="76" ht="14.25" customHeight="1">
      <c r="B76" s="11"/>
      <c r="C76" s="11"/>
      <c r="D76" s="11"/>
      <c r="E76" s="11"/>
      <c r="F76" s="11"/>
      <c r="G76" s="11"/>
    </row>
    <row r="77" ht="14.25" customHeight="1">
      <c r="B77" s="11"/>
      <c r="C77" s="11"/>
      <c r="D77" s="11"/>
      <c r="E77" s="11"/>
      <c r="F77" s="11"/>
      <c r="G77" s="11"/>
    </row>
    <row r="78" ht="14.25" customHeight="1">
      <c r="B78" s="11"/>
      <c r="C78" s="11"/>
      <c r="D78" s="11"/>
      <c r="E78" s="11"/>
      <c r="F78" s="11"/>
      <c r="G78" s="11"/>
    </row>
    <row r="79" ht="14.25" customHeight="1">
      <c r="B79" s="11"/>
      <c r="C79" s="11"/>
      <c r="D79" s="11"/>
      <c r="E79" s="11"/>
      <c r="F79" s="11"/>
      <c r="G79" s="11"/>
    </row>
    <row r="80" ht="14.25" customHeight="1">
      <c r="B80" s="11"/>
      <c r="C80" s="11"/>
      <c r="D80" s="11"/>
      <c r="E80" s="11"/>
      <c r="F80" s="11"/>
      <c r="G80" s="11"/>
    </row>
    <row r="81" ht="14.25" customHeight="1">
      <c r="B81" s="11"/>
      <c r="C81" s="11"/>
      <c r="D81" s="11"/>
      <c r="E81" s="11"/>
      <c r="F81" s="11"/>
      <c r="G81" s="11"/>
    </row>
    <row r="82" ht="14.25" customHeight="1">
      <c r="B82" s="11"/>
      <c r="C82" s="11"/>
      <c r="D82" s="11"/>
      <c r="E82" s="11"/>
      <c r="F82" s="11"/>
      <c r="G82" s="11"/>
    </row>
    <row r="83" ht="14.25" customHeight="1">
      <c r="B83" s="11"/>
      <c r="C83" s="11"/>
      <c r="D83" s="11"/>
      <c r="E83" s="11"/>
      <c r="F83" s="11"/>
      <c r="G83" s="11"/>
    </row>
    <row r="84" ht="14.25" customHeight="1">
      <c r="B84" s="11"/>
      <c r="C84" s="11"/>
      <c r="D84" s="11"/>
      <c r="E84" s="11"/>
      <c r="F84" s="11"/>
      <c r="G84" s="11"/>
    </row>
    <row r="85" ht="14.25" customHeight="1">
      <c r="B85" s="11"/>
      <c r="C85" s="11"/>
      <c r="D85" s="11"/>
      <c r="E85" s="11"/>
      <c r="F85" s="11"/>
      <c r="G85" s="11"/>
    </row>
    <row r="86" ht="14.25" customHeight="1">
      <c r="B86" s="11"/>
      <c r="C86" s="11"/>
      <c r="D86" s="11"/>
      <c r="E86" s="11"/>
      <c r="F86" s="11"/>
      <c r="G86" s="11"/>
    </row>
    <row r="87" ht="14.25" customHeight="1">
      <c r="B87" s="11"/>
      <c r="C87" s="11"/>
      <c r="D87" s="11"/>
      <c r="E87" s="11"/>
      <c r="F87" s="11"/>
      <c r="G87" s="11"/>
    </row>
    <row r="88" ht="14.25" customHeight="1">
      <c r="B88" s="11"/>
      <c r="C88" s="11"/>
      <c r="D88" s="11"/>
      <c r="E88" s="11"/>
      <c r="F88" s="11"/>
      <c r="G88" s="11"/>
    </row>
    <row r="89" ht="14.25" customHeight="1">
      <c r="B89" s="11"/>
      <c r="C89" s="11"/>
      <c r="D89" s="11"/>
      <c r="E89" s="11"/>
      <c r="F89" s="11"/>
      <c r="G89" s="11"/>
    </row>
    <row r="90" ht="14.25" customHeight="1">
      <c r="B90" s="11"/>
      <c r="C90" s="11"/>
      <c r="D90" s="11"/>
      <c r="E90" s="11"/>
      <c r="F90" s="11"/>
      <c r="G90" s="11"/>
    </row>
    <row r="91" ht="14.25" customHeight="1">
      <c r="B91" s="11"/>
      <c r="C91" s="11"/>
      <c r="D91" s="11"/>
      <c r="E91" s="11"/>
      <c r="F91" s="11"/>
      <c r="G91" s="11"/>
    </row>
    <row r="92" ht="14.25" customHeight="1">
      <c r="B92" s="11"/>
      <c r="C92" s="11"/>
      <c r="D92" s="11"/>
      <c r="E92" s="11"/>
      <c r="F92" s="11"/>
      <c r="G92" s="11"/>
    </row>
    <row r="93" ht="14.25" customHeight="1">
      <c r="B93" s="11"/>
      <c r="C93" s="11"/>
      <c r="D93" s="11"/>
      <c r="E93" s="11"/>
      <c r="F93" s="11"/>
      <c r="G93" s="11"/>
    </row>
    <row r="94" ht="14.25" customHeight="1">
      <c r="B94" s="11"/>
      <c r="C94" s="11"/>
      <c r="D94" s="11"/>
      <c r="E94" s="11"/>
      <c r="F94" s="11"/>
      <c r="G94" s="11"/>
    </row>
    <row r="95" ht="14.25" customHeight="1">
      <c r="B95" s="11"/>
      <c r="C95" s="11"/>
      <c r="D95" s="11"/>
      <c r="E95" s="11"/>
      <c r="F95" s="11"/>
      <c r="G95" s="11"/>
    </row>
    <row r="96" ht="14.25" customHeight="1">
      <c r="B96" s="11"/>
      <c r="C96" s="11"/>
      <c r="D96" s="11"/>
      <c r="E96" s="11"/>
      <c r="F96" s="11"/>
      <c r="G96" s="11"/>
    </row>
    <row r="97" ht="14.25" customHeight="1">
      <c r="B97" s="11"/>
      <c r="C97" s="11"/>
      <c r="D97" s="11"/>
      <c r="E97" s="11"/>
      <c r="F97" s="11"/>
      <c r="G97" s="11"/>
    </row>
    <row r="98" ht="14.25" customHeight="1">
      <c r="B98" s="11"/>
      <c r="C98" s="11"/>
      <c r="D98" s="11"/>
      <c r="E98" s="11"/>
      <c r="F98" s="11"/>
      <c r="G98" s="11"/>
    </row>
    <row r="99" ht="14.25" customHeight="1">
      <c r="B99" s="11"/>
      <c r="C99" s="11"/>
      <c r="D99" s="11"/>
      <c r="E99" s="11"/>
      <c r="F99" s="11"/>
      <c r="G99" s="11"/>
    </row>
    <row r="100" ht="14.25" customHeight="1">
      <c r="B100" s="11"/>
      <c r="C100" s="11"/>
      <c r="D100" s="11"/>
      <c r="E100" s="11"/>
      <c r="F100" s="11"/>
      <c r="G100" s="11"/>
    </row>
    <row r="101" ht="14.25" customHeight="1">
      <c r="B101" s="11"/>
      <c r="C101" s="11"/>
      <c r="D101" s="11"/>
      <c r="E101" s="11"/>
      <c r="F101" s="11"/>
      <c r="G101" s="11"/>
    </row>
    <row r="102" ht="14.25" customHeight="1">
      <c r="B102" s="11"/>
      <c r="C102" s="11"/>
      <c r="D102" s="11"/>
      <c r="E102" s="11"/>
      <c r="F102" s="11"/>
      <c r="G102" s="11"/>
    </row>
    <row r="103" ht="14.25" customHeight="1">
      <c r="B103" s="11"/>
      <c r="C103" s="11"/>
      <c r="D103" s="11"/>
      <c r="E103" s="11"/>
      <c r="F103" s="11"/>
      <c r="G103" s="11"/>
    </row>
    <row r="104" ht="14.25" customHeight="1">
      <c r="B104" s="11"/>
      <c r="C104" s="11"/>
      <c r="D104" s="11"/>
      <c r="E104" s="11"/>
      <c r="F104" s="11"/>
      <c r="G104" s="11"/>
    </row>
    <row r="105" ht="14.25" customHeight="1">
      <c r="B105" s="11"/>
      <c r="C105" s="11"/>
      <c r="D105" s="11"/>
      <c r="E105" s="11"/>
      <c r="F105" s="11"/>
      <c r="G105" s="11"/>
    </row>
    <row r="106" ht="14.25" customHeight="1">
      <c r="B106" s="11"/>
      <c r="C106" s="11"/>
      <c r="D106" s="11"/>
      <c r="E106" s="11"/>
      <c r="F106" s="11"/>
      <c r="G106" s="11"/>
    </row>
    <row r="107" ht="14.25" customHeight="1">
      <c r="B107" s="11"/>
      <c r="C107" s="11"/>
      <c r="D107" s="11"/>
      <c r="E107" s="11"/>
      <c r="F107" s="11"/>
      <c r="G107" s="11"/>
    </row>
    <row r="108" ht="14.25" customHeight="1">
      <c r="B108" s="11"/>
      <c r="C108" s="11"/>
      <c r="D108" s="11"/>
      <c r="E108" s="11"/>
      <c r="F108" s="11"/>
      <c r="G108" s="11"/>
    </row>
    <row r="109" ht="14.25" customHeight="1">
      <c r="B109" s="11"/>
      <c r="C109" s="11"/>
      <c r="D109" s="11"/>
      <c r="E109" s="11"/>
      <c r="F109" s="11"/>
      <c r="G109" s="11"/>
    </row>
    <row r="110" ht="14.25" customHeight="1">
      <c r="B110" s="11"/>
      <c r="C110" s="11"/>
      <c r="D110" s="11"/>
      <c r="E110" s="11"/>
      <c r="F110" s="11"/>
      <c r="G110" s="11"/>
    </row>
    <row r="111" ht="14.25" customHeight="1">
      <c r="B111" s="11"/>
      <c r="C111" s="11"/>
      <c r="D111" s="11"/>
      <c r="E111" s="11"/>
      <c r="F111" s="11"/>
      <c r="G111" s="11"/>
    </row>
    <row r="112" ht="14.25" customHeight="1">
      <c r="B112" s="11"/>
      <c r="C112" s="11"/>
      <c r="D112" s="11"/>
      <c r="E112" s="11"/>
      <c r="F112" s="11"/>
      <c r="G112" s="11"/>
    </row>
    <row r="113" ht="14.25" customHeight="1">
      <c r="B113" s="11"/>
      <c r="C113" s="11"/>
      <c r="D113" s="11"/>
      <c r="E113" s="11"/>
      <c r="F113" s="11"/>
      <c r="G113" s="11"/>
    </row>
    <row r="114" ht="14.25" customHeight="1">
      <c r="B114" s="11"/>
      <c r="C114" s="11"/>
      <c r="D114" s="11"/>
      <c r="E114" s="11"/>
      <c r="F114" s="11"/>
      <c r="G114" s="11"/>
    </row>
    <row r="115" ht="14.25" customHeight="1">
      <c r="B115" s="11"/>
      <c r="C115" s="11"/>
      <c r="D115" s="11"/>
      <c r="E115" s="11"/>
      <c r="F115" s="11"/>
      <c r="G115" s="11"/>
    </row>
    <row r="116" ht="14.25" customHeight="1">
      <c r="B116" s="11"/>
      <c r="C116" s="11"/>
      <c r="D116" s="11"/>
      <c r="E116" s="11"/>
      <c r="F116" s="11"/>
      <c r="G116" s="11"/>
    </row>
    <row r="117" ht="14.25" customHeight="1">
      <c r="B117" s="11"/>
      <c r="C117" s="11"/>
      <c r="D117" s="11"/>
      <c r="E117" s="11"/>
      <c r="F117" s="11"/>
      <c r="G117" s="11"/>
    </row>
    <row r="118" ht="14.25" customHeight="1">
      <c r="B118" s="11"/>
      <c r="C118" s="11"/>
      <c r="D118" s="11"/>
      <c r="E118" s="11"/>
      <c r="F118" s="11"/>
      <c r="G118" s="11"/>
    </row>
    <row r="119" ht="14.25" customHeight="1">
      <c r="B119" s="11"/>
      <c r="C119" s="11"/>
      <c r="D119" s="11"/>
      <c r="E119" s="11"/>
      <c r="F119" s="11"/>
      <c r="G119" s="11"/>
    </row>
    <row r="120" ht="14.25" customHeight="1">
      <c r="B120" s="11"/>
      <c r="C120" s="11"/>
      <c r="D120" s="11"/>
      <c r="E120" s="11"/>
      <c r="F120" s="11"/>
      <c r="G120" s="11"/>
    </row>
    <row r="121" ht="14.25" customHeight="1">
      <c r="B121" s="11"/>
      <c r="C121" s="11"/>
      <c r="D121" s="11"/>
      <c r="E121" s="11"/>
      <c r="F121" s="11"/>
      <c r="G121" s="11"/>
    </row>
    <row r="122" ht="14.25" customHeight="1">
      <c r="B122" s="11"/>
      <c r="C122" s="11"/>
      <c r="D122" s="11"/>
      <c r="E122" s="11"/>
      <c r="F122" s="11"/>
      <c r="G122" s="11"/>
    </row>
    <row r="123" ht="14.25" customHeight="1">
      <c r="B123" s="11"/>
      <c r="C123" s="11"/>
      <c r="D123" s="11"/>
      <c r="E123" s="11"/>
      <c r="F123" s="11"/>
      <c r="G123" s="11"/>
    </row>
    <row r="124" ht="14.25" customHeight="1">
      <c r="B124" s="11"/>
      <c r="C124" s="11"/>
      <c r="D124" s="11"/>
      <c r="E124" s="11"/>
      <c r="F124" s="11"/>
      <c r="G124" s="11"/>
    </row>
    <row r="125" ht="14.25" customHeight="1">
      <c r="B125" s="11"/>
      <c r="C125" s="11"/>
      <c r="D125" s="11"/>
      <c r="E125" s="11"/>
      <c r="F125" s="11"/>
      <c r="G125" s="11"/>
    </row>
    <row r="126" ht="14.25" customHeight="1">
      <c r="B126" s="11"/>
      <c r="C126" s="11"/>
      <c r="D126" s="11"/>
      <c r="E126" s="11"/>
      <c r="F126" s="11"/>
      <c r="G126" s="11"/>
    </row>
    <row r="127" ht="14.25" customHeight="1">
      <c r="B127" s="11"/>
      <c r="C127" s="11"/>
      <c r="D127" s="11"/>
      <c r="E127" s="11"/>
      <c r="F127" s="11"/>
      <c r="G127" s="11"/>
    </row>
    <row r="128" ht="14.25" customHeight="1">
      <c r="B128" s="11"/>
      <c r="C128" s="11"/>
      <c r="D128" s="11"/>
      <c r="E128" s="11"/>
      <c r="F128" s="11"/>
      <c r="G128" s="11"/>
    </row>
    <row r="129" ht="14.25" customHeight="1">
      <c r="B129" s="11"/>
      <c r="C129" s="11"/>
      <c r="D129" s="11"/>
      <c r="E129" s="11"/>
      <c r="F129" s="11"/>
      <c r="G129" s="11"/>
    </row>
    <row r="130" ht="14.25" customHeight="1">
      <c r="B130" s="11"/>
      <c r="C130" s="11"/>
      <c r="D130" s="11"/>
      <c r="E130" s="11"/>
      <c r="F130" s="11"/>
      <c r="G130" s="11"/>
    </row>
    <row r="131" ht="14.25" customHeight="1">
      <c r="B131" s="11"/>
      <c r="C131" s="11"/>
      <c r="D131" s="11"/>
      <c r="E131" s="11"/>
      <c r="F131" s="11"/>
      <c r="G131" s="11"/>
    </row>
    <row r="132" ht="14.25" customHeight="1">
      <c r="B132" s="11"/>
      <c r="C132" s="11"/>
      <c r="D132" s="11"/>
      <c r="E132" s="11"/>
      <c r="F132" s="11"/>
      <c r="G132" s="11"/>
    </row>
    <row r="133" ht="14.25" customHeight="1">
      <c r="B133" s="11"/>
      <c r="C133" s="11"/>
      <c r="D133" s="11"/>
      <c r="E133" s="11"/>
      <c r="F133" s="11"/>
      <c r="G133" s="11"/>
    </row>
    <row r="134" ht="14.25" customHeight="1">
      <c r="B134" s="11"/>
      <c r="C134" s="11"/>
      <c r="D134" s="11"/>
      <c r="E134" s="11"/>
      <c r="F134" s="11"/>
      <c r="G134" s="11"/>
    </row>
    <row r="135" ht="14.25" customHeight="1">
      <c r="B135" s="11"/>
      <c r="C135" s="11"/>
      <c r="D135" s="11"/>
      <c r="E135" s="11"/>
      <c r="F135" s="11"/>
      <c r="G135" s="11"/>
    </row>
    <row r="136" ht="14.25" customHeight="1">
      <c r="B136" s="11"/>
      <c r="C136" s="11"/>
      <c r="D136" s="11"/>
      <c r="E136" s="11"/>
      <c r="F136" s="11"/>
      <c r="G136" s="11"/>
    </row>
    <row r="137" ht="14.25" customHeight="1">
      <c r="B137" s="11"/>
      <c r="C137" s="11"/>
      <c r="D137" s="11"/>
      <c r="E137" s="11"/>
      <c r="F137" s="11"/>
      <c r="G137" s="11"/>
    </row>
    <row r="138" ht="14.25" customHeight="1">
      <c r="B138" s="11"/>
      <c r="C138" s="11"/>
      <c r="D138" s="11"/>
      <c r="E138" s="11"/>
      <c r="F138" s="11"/>
      <c r="G138" s="11"/>
    </row>
    <row r="139" ht="14.25" customHeight="1">
      <c r="B139" s="11"/>
      <c r="C139" s="11"/>
      <c r="D139" s="11"/>
      <c r="E139" s="11"/>
      <c r="F139" s="11"/>
      <c r="G139" s="11"/>
    </row>
    <row r="140" ht="14.25" customHeight="1">
      <c r="B140" s="11"/>
      <c r="C140" s="11"/>
      <c r="D140" s="11"/>
      <c r="E140" s="11"/>
      <c r="F140" s="11"/>
      <c r="G140" s="11"/>
    </row>
    <row r="141" ht="14.25" customHeight="1">
      <c r="B141" s="11"/>
      <c r="C141" s="11"/>
      <c r="D141" s="11"/>
      <c r="E141" s="11"/>
      <c r="F141" s="11"/>
      <c r="G141" s="11"/>
    </row>
    <row r="142" ht="14.25" customHeight="1">
      <c r="B142" s="11"/>
      <c r="C142" s="11"/>
      <c r="D142" s="11"/>
      <c r="E142" s="11"/>
      <c r="F142" s="11"/>
      <c r="G142" s="11"/>
    </row>
    <row r="143" ht="14.25" customHeight="1">
      <c r="B143" s="11"/>
      <c r="C143" s="11"/>
      <c r="D143" s="11"/>
      <c r="E143" s="11"/>
      <c r="F143" s="11"/>
      <c r="G143" s="11"/>
    </row>
    <row r="144" ht="14.25" customHeight="1">
      <c r="B144" s="11"/>
      <c r="C144" s="11"/>
      <c r="D144" s="11"/>
      <c r="E144" s="11"/>
      <c r="F144" s="11"/>
      <c r="G144" s="11"/>
    </row>
    <row r="145" ht="14.25" customHeight="1">
      <c r="B145" s="11"/>
      <c r="C145" s="11"/>
      <c r="D145" s="11"/>
      <c r="E145" s="11"/>
      <c r="F145" s="11"/>
      <c r="G145" s="11"/>
    </row>
    <row r="146" ht="14.25" customHeight="1">
      <c r="B146" s="11"/>
      <c r="C146" s="11"/>
      <c r="D146" s="11"/>
      <c r="E146" s="11"/>
      <c r="F146" s="11"/>
      <c r="G146" s="11"/>
    </row>
    <row r="147" ht="14.25" customHeight="1">
      <c r="B147" s="11"/>
      <c r="C147" s="11"/>
      <c r="D147" s="11"/>
      <c r="E147" s="11"/>
      <c r="F147" s="11"/>
      <c r="G147" s="11"/>
    </row>
    <row r="148" ht="14.25" customHeight="1">
      <c r="B148" s="11"/>
      <c r="C148" s="11"/>
      <c r="D148" s="11"/>
      <c r="E148" s="11"/>
      <c r="F148" s="11"/>
      <c r="G148" s="11"/>
    </row>
    <row r="149" ht="14.25" customHeight="1">
      <c r="B149" s="11"/>
      <c r="C149" s="11"/>
      <c r="D149" s="11"/>
      <c r="E149" s="11"/>
      <c r="F149" s="11"/>
      <c r="G149" s="11"/>
    </row>
    <row r="150" ht="14.25" customHeight="1">
      <c r="B150" s="11"/>
      <c r="C150" s="11"/>
      <c r="D150" s="11"/>
      <c r="E150" s="11"/>
      <c r="F150" s="11"/>
      <c r="G150" s="11"/>
    </row>
    <row r="151" ht="14.25" customHeight="1">
      <c r="B151" s="11"/>
      <c r="C151" s="11"/>
      <c r="D151" s="11"/>
      <c r="E151" s="11"/>
      <c r="F151" s="11"/>
      <c r="G151" s="11"/>
    </row>
    <row r="152" ht="14.25" customHeight="1">
      <c r="B152" s="11"/>
      <c r="C152" s="11"/>
      <c r="D152" s="11"/>
      <c r="E152" s="11"/>
      <c r="F152" s="11"/>
      <c r="G152" s="11"/>
    </row>
    <row r="153" ht="14.25" customHeight="1">
      <c r="B153" s="11"/>
      <c r="C153" s="11"/>
      <c r="D153" s="11"/>
      <c r="E153" s="11"/>
      <c r="F153" s="11"/>
      <c r="G153" s="11"/>
    </row>
    <row r="154" ht="14.25" customHeight="1">
      <c r="B154" s="11"/>
      <c r="C154" s="11"/>
      <c r="D154" s="11"/>
      <c r="E154" s="11"/>
      <c r="F154" s="11"/>
      <c r="G154" s="11"/>
    </row>
    <row r="155" ht="14.25" customHeight="1">
      <c r="B155" s="11"/>
      <c r="C155" s="11"/>
      <c r="D155" s="11"/>
      <c r="E155" s="11"/>
      <c r="F155" s="11"/>
      <c r="G155" s="11"/>
    </row>
    <row r="156" ht="14.25" customHeight="1">
      <c r="B156" s="11"/>
      <c r="C156" s="11"/>
      <c r="D156" s="11"/>
      <c r="E156" s="11"/>
      <c r="F156" s="11"/>
      <c r="G156" s="11"/>
    </row>
    <row r="157" ht="14.25" customHeight="1">
      <c r="B157" s="11"/>
      <c r="C157" s="11"/>
      <c r="D157" s="11"/>
      <c r="E157" s="11"/>
      <c r="F157" s="11"/>
      <c r="G157" s="11"/>
    </row>
    <row r="158" ht="14.25" customHeight="1">
      <c r="B158" s="11"/>
      <c r="C158" s="11"/>
      <c r="D158" s="11"/>
      <c r="E158" s="11"/>
      <c r="F158" s="11"/>
      <c r="G158" s="11"/>
    </row>
    <row r="159" ht="14.25" customHeight="1">
      <c r="B159" s="11"/>
      <c r="C159" s="11"/>
      <c r="D159" s="11"/>
      <c r="E159" s="11"/>
      <c r="F159" s="11"/>
      <c r="G159" s="11"/>
    </row>
    <row r="160" ht="14.25" customHeight="1">
      <c r="B160" s="11"/>
      <c r="C160" s="11"/>
      <c r="D160" s="11"/>
      <c r="E160" s="11"/>
      <c r="F160" s="11"/>
      <c r="G160" s="11"/>
    </row>
    <row r="161" ht="14.25" customHeight="1">
      <c r="B161" s="11"/>
      <c r="C161" s="11"/>
      <c r="D161" s="11"/>
      <c r="E161" s="11"/>
      <c r="F161" s="11"/>
      <c r="G161" s="11"/>
    </row>
    <row r="162" ht="14.25" customHeight="1">
      <c r="B162" s="11"/>
      <c r="C162" s="11"/>
      <c r="D162" s="11"/>
      <c r="E162" s="11"/>
      <c r="F162" s="11"/>
      <c r="G162" s="11"/>
    </row>
    <row r="163" ht="14.25" customHeight="1">
      <c r="B163" s="11"/>
      <c r="C163" s="11"/>
      <c r="D163" s="11"/>
      <c r="E163" s="11"/>
      <c r="F163" s="11"/>
      <c r="G163" s="11"/>
    </row>
    <row r="164" ht="14.25" customHeight="1">
      <c r="B164" s="11"/>
      <c r="C164" s="11"/>
      <c r="D164" s="11"/>
      <c r="E164" s="11"/>
      <c r="F164" s="11"/>
      <c r="G164" s="11"/>
    </row>
    <row r="165" ht="14.25" customHeight="1">
      <c r="B165" s="11"/>
      <c r="C165" s="11"/>
      <c r="D165" s="11"/>
      <c r="E165" s="11"/>
      <c r="F165" s="11"/>
      <c r="G165" s="11"/>
    </row>
    <row r="166" ht="14.25" customHeight="1">
      <c r="B166" s="11"/>
      <c r="C166" s="11"/>
      <c r="D166" s="11"/>
      <c r="E166" s="11"/>
      <c r="F166" s="11"/>
      <c r="G166" s="11"/>
    </row>
    <row r="167" ht="14.25" customHeight="1">
      <c r="B167" s="11"/>
      <c r="C167" s="11"/>
      <c r="D167" s="11"/>
      <c r="E167" s="11"/>
      <c r="F167" s="11"/>
      <c r="G167" s="11"/>
    </row>
    <row r="168" ht="14.25" customHeight="1">
      <c r="B168" s="11"/>
      <c r="C168" s="11"/>
      <c r="D168" s="11"/>
      <c r="E168" s="11"/>
      <c r="F168" s="11"/>
      <c r="G168" s="11"/>
    </row>
    <row r="169" ht="14.25" customHeight="1">
      <c r="B169" s="11"/>
      <c r="C169" s="11"/>
      <c r="D169" s="11"/>
      <c r="E169" s="11"/>
      <c r="F169" s="11"/>
      <c r="G169" s="11"/>
    </row>
    <row r="170" ht="14.25" customHeight="1">
      <c r="B170" s="11"/>
      <c r="C170" s="11"/>
      <c r="D170" s="11"/>
      <c r="E170" s="11"/>
      <c r="F170" s="11"/>
      <c r="G170" s="11"/>
    </row>
    <row r="171" ht="14.25" customHeight="1">
      <c r="B171" s="11"/>
      <c r="C171" s="11"/>
      <c r="D171" s="11"/>
      <c r="E171" s="11"/>
      <c r="F171" s="11"/>
      <c r="G171" s="11"/>
    </row>
    <row r="172" ht="14.25" customHeight="1">
      <c r="B172" s="11"/>
      <c r="C172" s="11"/>
      <c r="D172" s="11"/>
      <c r="E172" s="11"/>
      <c r="F172" s="11"/>
      <c r="G172" s="11"/>
    </row>
    <row r="173" ht="14.25" customHeight="1">
      <c r="B173" s="11"/>
      <c r="C173" s="11"/>
      <c r="D173" s="11"/>
      <c r="E173" s="11"/>
      <c r="F173" s="11"/>
      <c r="G173" s="11"/>
    </row>
    <row r="174" ht="14.25" customHeight="1">
      <c r="B174" s="11"/>
      <c r="C174" s="11"/>
      <c r="D174" s="11"/>
      <c r="E174" s="11"/>
      <c r="F174" s="11"/>
      <c r="G174" s="11"/>
    </row>
    <row r="175" ht="14.25" customHeight="1">
      <c r="B175" s="11"/>
      <c r="C175" s="11"/>
      <c r="D175" s="11"/>
      <c r="E175" s="11"/>
      <c r="F175" s="11"/>
      <c r="G175" s="11"/>
    </row>
    <row r="176" ht="14.25" customHeight="1">
      <c r="B176" s="11"/>
      <c r="C176" s="11"/>
      <c r="D176" s="11"/>
      <c r="E176" s="11"/>
      <c r="F176" s="11"/>
      <c r="G176" s="11"/>
    </row>
    <row r="177" ht="14.25" customHeight="1">
      <c r="B177" s="11"/>
      <c r="C177" s="11"/>
      <c r="D177" s="11"/>
      <c r="E177" s="11"/>
      <c r="F177" s="11"/>
      <c r="G177" s="11"/>
    </row>
    <row r="178" ht="14.25" customHeight="1">
      <c r="B178" s="11"/>
      <c r="C178" s="11"/>
      <c r="D178" s="11"/>
      <c r="E178" s="11"/>
      <c r="F178" s="11"/>
      <c r="G178" s="11"/>
    </row>
    <row r="179" ht="14.25" customHeight="1">
      <c r="B179" s="11"/>
      <c r="C179" s="11"/>
      <c r="D179" s="11"/>
      <c r="E179" s="11"/>
      <c r="F179" s="11"/>
      <c r="G179" s="11"/>
    </row>
    <row r="180" ht="14.25" customHeight="1">
      <c r="B180" s="11"/>
      <c r="C180" s="11"/>
      <c r="D180" s="11"/>
      <c r="E180" s="11"/>
      <c r="F180" s="11"/>
      <c r="G180" s="11"/>
    </row>
    <row r="181" ht="14.25" customHeight="1">
      <c r="B181" s="11"/>
      <c r="C181" s="11"/>
      <c r="D181" s="11"/>
      <c r="E181" s="11"/>
      <c r="F181" s="11"/>
      <c r="G181" s="11"/>
    </row>
    <row r="182" ht="14.25" customHeight="1">
      <c r="B182" s="11"/>
      <c r="C182" s="11"/>
      <c r="D182" s="11"/>
      <c r="E182" s="11"/>
      <c r="F182" s="11"/>
      <c r="G182" s="11"/>
    </row>
    <row r="183" ht="14.25" customHeight="1">
      <c r="B183" s="11"/>
      <c r="C183" s="11"/>
      <c r="D183" s="11"/>
      <c r="E183" s="11"/>
      <c r="F183" s="11"/>
      <c r="G183" s="11"/>
    </row>
    <row r="184" ht="14.25" customHeight="1">
      <c r="B184" s="11"/>
      <c r="C184" s="11"/>
      <c r="D184" s="11"/>
      <c r="E184" s="11"/>
      <c r="F184" s="11"/>
      <c r="G184" s="11"/>
    </row>
    <row r="185" ht="14.25" customHeight="1">
      <c r="B185" s="11"/>
      <c r="C185" s="11"/>
      <c r="D185" s="11"/>
      <c r="E185" s="11"/>
      <c r="F185" s="11"/>
      <c r="G185" s="11"/>
    </row>
    <row r="186" ht="14.25" customHeight="1">
      <c r="B186" s="11"/>
      <c r="C186" s="11"/>
      <c r="D186" s="11"/>
      <c r="E186" s="11"/>
      <c r="F186" s="11"/>
      <c r="G186" s="11"/>
    </row>
    <row r="187" ht="14.25" customHeight="1">
      <c r="B187" s="11"/>
      <c r="C187" s="11"/>
      <c r="D187" s="11"/>
      <c r="E187" s="11"/>
      <c r="F187" s="11"/>
      <c r="G187" s="11"/>
    </row>
    <row r="188" ht="14.25" customHeight="1">
      <c r="B188" s="11"/>
      <c r="C188" s="11"/>
      <c r="D188" s="11"/>
      <c r="E188" s="11"/>
      <c r="F188" s="11"/>
      <c r="G188" s="11"/>
    </row>
    <row r="189" ht="14.25" customHeight="1">
      <c r="B189" s="11"/>
      <c r="C189" s="11"/>
      <c r="D189" s="11"/>
      <c r="E189" s="11"/>
      <c r="F189" s="11"/>
      <c r="G189" s="11"/>
    </row>
    <row r="190" ht="14.25" customHeight="1">
      <c r="B190" s="11"/>
      <c r="C190" s="11"/>
      <c r="D190" s="11"/>
      <c r="E190" s="11"/>
      <c r="F190" s="11"/>
      <c r="G190" s="11"/>
    </row>
    <row r="191" ht="14.25" customHeight="1">
      <c r="B191" s="11"/>
      <c r="C191" s="11"/>
      <c r="D191" s="11"/>
      <c r="E191" s="11"/>
      <c r="F191" s="11"/>
      <c r="G191" s="11"/>
    </row>
    <row r="192" ht="14.25" customHeight="1">
      <c r="B192" s="11"/>
      <c r="C192" s="11"/>
      <c r="D192" s="11"/>
      <c r="E192" s="11"/>
      <c r="F192" s="11"/>
      <c r="G192" s="11"/>
    </row>
    <row r="193" ht="14.25" customHeight="1">
      <c r="B193" s="11"/>
      <c r="C193" s="11"/>
      <c r="D193" s="11"/>
      <c r="E193" s="11"/>
      <c r="F193" s="11"/>
      <c r="G193" s="11"/>
    </row>
    <row r="194" ht="14.25" customHeight="1">
      <c r="B194" s="11"/>
      <c r="C194" s="11"/>
      <c r="D194" s="11"/>
      <c r="E194" s="11"/>
      <c r="F194" s="11"/>
      <c r="G194" s="11"/>
    </row>
    <row r="195" ht="14.25" customHeight="1">
      <c r="B195" s="11"/>
      <c r="C195" s="11"/>
      <c r="D195" s="11"/>
      <c r="E195" s="11"/>
      <c r="F195" s="11"/>
      <c r="G195" s="11"/>
    </row>
    <row r="196" ht="14.25" customHeight="1">
      <c r="B196" s="11"/>
      <c r="C196" s="11"/>
      <c r="D196" s="11"/>
      <c r="E196" s="11"/>
      <c r="F196" s="11"/>
      <c r="G196" s="11"/>
    </row>
    <row r="197" ht="14.25" customHeight="1">
      <c r="B197" s="11"/>
      <c r="C197" s="11"/>
      <c r="D197" s="11"/>
      <c r="E197" s="11"/>
      <c r="F197" s="11"/>
      <c r="G197" s="11"/>
    </row>
    <row r="198" ht="14.25" customHeight="1">
      <c r="B198" s="11"/>
      <c r="C198" s="11"/>
      <c r="D198" s="11"/>
      <c r="E198" s="11"/>
      <c r="F198" s="11"/>
      <c r="G198" s="11"/>
    </row>
    <row r="199" ht="14.25" customHeight="1">
      <c r="B199" s="11"/>
      <c r="C199" s="11"/>
      <c r="D199" s="11"/>
      <c r="E199" s="11"/>
      <c r="F199" s="11"/>
      <c r="G199" s="11"/>
    </row>
    <row r="200" ht="14.25" customHeight="1">
      <c r="B200" s="11"/>
      <c r="C200" s="11"/>
      <c r="D200" s="11"/>
      <c r="E200" s="11"/>
      <c r="F200" s="11"/>
      <c r="G200" s="11"/>
    </row>
    <row r="201" ht="14.25" customHeight="1">
      <c r="B201" s="11"/>
      <c r="C201" s="11"/>
      <c r="D201" s="11"/>
      <c r="E201" s="11"/>
      <c r="F201" s="11"/>
      <c r="G201" s="11"/>
    </row>
    <row r="202" ht="14.25" customHeight="1">
      <c r="B202" s="11"/>
      <c r="C202" s="11"/>
      <c r="D202" s="11"/>
      <c r="E202" s="11"/>
      <c r="F202" s="11"/>
      <c r="G202" s="11"/>
    </row>
    <row r="203" ht="14.25" customHeight="1">
      <c r="B203" s="11"/>
      <c r="C203" s="11"/>
      <c r="D203" s="11"/>
      <c r="E203" s="11"/>
      <c r="F203" s="11"/>
      <c r="G203" s="11"/>
    </row>
    <row r="204" ht="14.25" customHeight="1">
      <c r="B204" s="11"/>
      <c r="C204" s="11"/>
      <c r="D204" s="11"/>
      <c r="E204" s="11"/>
      <c r="F204" s="11"/>
      <c r="G204" s="11"/>
    </row>
    <row r="205" ht="14.25" customHeight="1">
      <c r="B205" s="11"/>
      <c r="C205" s="11"/>
      <c r="D205" s="11"/>
      <c r="E205" s="11"/>
      <c r="F205" s="11"/>
      <c r="G205" s="11"/>
    </row>
    <row r="206" ht="14.25" customHeight="1">
      <c r="B206" s="11"/>
      <c r="C206" s="11"/>
      <c r="D206" s="11"/>
      <c r="E206" s="11"/>
      <c r="F206" s="11"/>
      <c r="G206" s="11"/>
    </row>
    <row r="207" ht="14.25" customHeight="1">
      <c r="B207" s="11"/>
      <c r="C207" s="11"/>
      <c r="D207" s="11"/>
      <c r="E207" s="11"/>
      <c r="F207" s="11"/>
      <c r="G207" s="11"/>
    </row>
    <row r="208" ht="14.25" customHeight="1">
      <c r="B208" s="11"/>
      <c r="C208" s="11"/>
      <c r="D208" s="11"/>
      <c r="E208" s="11"/>
      <c r="F208" s="11"/>
      <c r="G208" s="11"/>
    </row>
    <row r="209" ht="14.25" customHeight="1">
      <c r="B209" s="11"/>
      <c r="C209" s="11"/>
      <c r="D209" s="11"/>
      <c r="E209" s="11"/>
      <c r="F209" s="11"/>
      <c r="G209" s="11"/>
    </row>
    <row r="210" ht="14.25" customHeight="1">
      <c r="B210" s="11"/>
      <c r="C210" s="11"/>
      <c r="D210" s="11"/>
      <c r="E210" s="11"/>
      <c r="F210" s="11"/>
      <c r="G210" s="11"/>
    </row>
    <row r="211" ht="14.25" customHeight="1">
      <c r="B211" s="11"/>
      <c r="C211" s="11"/>
      <c r="D211" s="11"/>
      <c r="E211" s="11"/>
      <c r="F211" s="11"/>
      <c r="G211" s="11"/>
    </row>
    <row r="212" ht="14.25" customHeight="1">
      <c r="B212" s="11"/>
      <c r="C212" s="11"/>
      <c r="D212" s="11"/>
      <c r="E212" s="11"/>
      <c r="F212" s="11"/>
      <c r="G212" s="11"/>
    </row>
    <row r="213" ht="14.25" customHeight="1">
      <c r="B213" s="11"/>
      <c r="C213" s="11"/>
      <c r="D213" s="11"/>
      <c r="E213" s="11"/>
      <c r="F213" s="11"/>
      <c r="G213" s="11"/>
    </row>
    <row r="214" ht="14.25" customHeight="1">
      <c r="B214" s="11"/>
      <c r="C214" s="11"/>
      <c r="D214" s="11"/>
      <c r="E214" s="11"/>
      <c r="F214" s="11"/>
      <c r="G214" s="11"/>
    </row>
    <row r="215" ht="14.25" customHeight="1">
      <c r="B215" s="11"/>
      <c r="C215" s="11"/>
      <c r="D215" s="11"/>
      <c r="E215" s="11"/>
      <c r="F215" s="11"/>
      <c r="G215" s="11"/>
    </row>
    <row r="216" ht="14.25" customHeight="1">
      <c r="B216" s="11"/>
      <c r="C216" s="11"/>
      <c r="D216" s="11"/>
      <c r="E216" s="11"/>
      <c r="F216" s="11"/>
      <c r="G216" s="11"/>
    </row>
    <row r="217" ht="14.25" customHeight="1">
      <c r="B217" s="11"/>
      <c r="C217" s="11"/>
      <c r="D217" s="11"/>
      <c r="E217" s="11"/>
      <c r="F217" s="11"/>
      <c r="G217" s="11"/>
    </row>
    <row r="218" ht="14.25" customHeight="1">
      <c r="B218" s="11"/>
      <c r="C218" s="11"/>
      <c r="D218" s="11"/>
      <c r="E218" s="11"/>
      <c r="F218" s="11"/>
      <c r="G218" s="11"/>
    </row>
    <row r="219" ht="14.25" customHeight="1">
      <c r="B219" s="11"/>
      <c r="C219" s="11"/>
      <c r="D219" s="11"/>
      <c r="E219" s="11"/>
      <c r="F219" s="11"/>
      <c r="G219" s="11"/>
    </row>
    <row r="220" ht="14.25" customHeight="1">
      <c r="B220" s="11"/>
      <c r="C220" s="11"/>
      <c r="D220" s="11"/>
      <c r="E220" s="11"/>
      <c r="F220" s="11"/>
      <c r="G220" s="11"/>
    </row>
    <row r="221" ht="14.25" customHeight="1">
      <c r="B221" s="11"/>
      <c r="C221" s="11"/>
      <c r="D221" s="11"/>
      <c r="E221" s="11"/>
      <c r="F221" s="11"/>
      <c r="G221" s="11"/>
    </row>
    <row r="222" ht="14.25" customHeight="1">
      <c r="B222" s="11"/>
      <c r="C222" s="11"/>
      <c r="D222" s="11"/>
      <c r="E222" s="11"/>
      <c r="F222" s="11"/>
      <c r="G222" s="11"/>
    </row>
    <row r="223" ht="14.25" customHeight="1">
      <c r="B223" s="11"/>
      <c r="C223" s="11"/>
      <c r="D223" s="11"/>
      <c r="E223" s="11"/>
      <c r="F223" s="11"/>
      <c r="G223" s="11"/>
    </row>
    <row r="224" ht="14.25" customHeight="1">
      <c r="B224" s="11"/>
      <c r="C224" s="11"/>
      <c r="D224" s="11"/>
      <c r="E224" s="11"/>
      <c r="F224" s="11"/>
      <c r="G224" s="11"/>
    </row>
    <row r="225" ht="14.25" customHeight="1">
      <c r="B225" s="11"/>
      <c r="C225" s="11"/>
      <c r="D225" s="11"/>
      <c r="E225" s="11"/>
      <c r="F225" s="11"/>
      <c r="G225" s="11"/>
    </row>
    <row r="226" ht="14.25" customHeight="1">
      <c r="B226" s="11"/>
      <c r="C226" s="11"/>
      <c r="D226" s="11"/>
      <c r="E226" s="11"/>
      <c r="F226" s="11"/>
      <c r="G226" s="11"/>
    </row>
    <row r="227" ht="14.25" customHeight="1">
      <c r="B227" s="11"/>
      <c r="C227" s="11"/>
      <c r="D227" s="11"/>
      <c r="E227" s="11"/>
      <c r="F227" s="11"/>
      <c r="G227" s="11"/>
    </row>
    <row r="228" ht="14.25" customHeight="1">
      <c r="B228" s="11"/>
      <c r="C228" s="11"/>
      <c r="D228" s="11"/>
      <c r="E228" s="11"/>
      <c r="F228" s="11"/>
      <c r="G228" s="11"/>
    </row>
    <row r="229" ht="14.25" customHeight="1">
      <c r="B229" s="11"/>
      <c r="C229" s="11"/>
      <c r="D229" s="11"/>
      <c r="E229" s="11"/>
      <c r="F229" s="11"/>
      <c r="G229" s="11"/>
    </row>
    <row r="230" ht="14.25" customHeight="1">
      <c r="B230" s="11"/>
      <c r="C230" s="11"/>
      <c r="D230" s="11"/>
      <c r="E230" s="11"/>
      <c r="F230" s="11"/>
      <c r="G230" s="11"/>
    </row>
    <row r="231" ht="14.25" customHeight="1">
      <c r="B231" s="11"/>
      <c r="C231" s="11"/>
      <c r="D231" s="11"/>
      <c r="E231" s="11"/>
      <c r="F231" s="11"/>
      <c r="G231" s="11"/>
    </row>
    <row r="232" ht="14.25" customHeight="1">
      <c r="B232" s="11"/>
      <c r="C232" s="11"/>
      <c r="D232" s="11"/>
      <c r="E232" s="11"/>
      <c r="F232" s="11"/>
      <c r="G232" s="11"/>
    </row>
    <row r="233" ht="14.25" customHeight="1">
      <c r="B233" s="11"/>
      <c r="C233" s="11"/>
      <c r="D233" s="11"/>
      <c r="E233" s="11"/>
      <c r="F233" s="11"/>
      <c r="G233" s="11"/>
    </row>
    <row r="234" ht="14.25" customHeight="1">
      <c r="B234" s="11"/>
      <c r="C234" s="11"/>
      <c r="D234" s="11"/>
      <c r="E234" s="11"/>
      <c r="F234" s="11"/>
      <c r="G234" s="11"/>
    </row>
    <row r="235" ht="14.25" customHeight="1">
      <c r="B235" s="11"/>
      <c r="C235" s="11"/>
      <c r="D235" s="11"/>
      <c r="E235" s="11"/>
      <c r="F235" s="11"/>
      <c r="G235" s="11"/>
    </row>
    <row r="236" ht="14.25" customHeight="1">
      <c r="B236" s="11"/>
      <c r="C236" s="11"/>
      <c r="D236" s="11"/>
      <c r="E236" s="11"/>
      <c r="F236" s="11"/>
      <c r="G236" s="11"/>
    </row>
    <row r="237" ht="14.25" customHeight="1">
      <c r="B237" s="11"/>
      <c r="C237" s="11"/>
      <c r="D237" s="11"/>
      <c r="E237" s="11"/>
      <c r="F237" s="11"/>
      <c r="G237" s="11"/>
    </row>
    <row r="238" ht="14.25" customHeight="1">
      <c r="B238" s="11"/>
      <c r="C238" s="11"/>
      <c r="D238" s="11"/>
      <c r="E238" s="11"/>
      <c r="F238" s="11"/>
      <c r="G238" s="11"/>
    </row>
    <row r="239" ht="14.25" customHeight="1">
      <c r="B239" s="11"/>
      <c r="C239" s="11"/>
      <c r="D239" s="11"/>
      <c r="E239" s="11"/>
      <c r="F239" s="11"/>
      <c r="G239" s="11"/>
    </row>
    <row r="240" ht="14.25" customHeight="1">
      <c r="B240" s="11"/>
      <c r="C240" s="11"/>
      <c r="D240" s="11"/>
      <c r="E240" s="11"/>
      <c r="F240" s="11"/>
      <c r="G240" s="11"/>
    </row>
    <row r="241" ht="14.25" customHeight="1">
      <c r="B241" s="11"/>
      <c r="C241" s="11"/>
      <c r="D241" s="11"/>
      <c r="E241" s="11"/>
      <c r="F241" s="11"/>
      <c r="G241" s="11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S$41">
    <filterColumn colId="18">
      <filters>
        <filter val="Kabbaj Yassine"/>
        <filter val="Bennani Omar"/>
        <filter val="Skalli Abdelilah"/>
        <filter val="Benkirane Samir"/>
        <filter val="Benali Ahmed"/>
        <filter val="Ouhmid Malika"/>
        <filter val="Benchekroun Adil"/>
        <filter val="Zerouali Nadia"/>
        <filter val="Ouahbi Anas"/>
        <filter val="Sbaai Hanane"/>
        <filter val="Belaid Yassir"/>
        <filter val="El Hachimi Said"/>
        <filter val="Mouline Rachid"/>
        <filter val="Tahiri Khadija"/>
        <filter val="Raiss Nour"/>
        <filter val="El Mansouri Karim"/>
        <filter val="Bouzidi Amina"/>
        <filter val="Fadili Abdelkader"/>
        <filter val="Karrouchi Ilham"/>
        <filter val="El Fassi Imane"/>
        <filter val="Smires Younes"/>
        <filter val="El Mouden Jamal"/>
        <filter val="Berrada Ayoub"/>
        <filter val="Chraibi Mohamed"/>
        <filter val="El Amrani Youssef"/>
        <filter val="El Idrissi Salma"/>
        <filter val="Raji Siham"/>
        <filter val="Haddad Latifa"/>
        <filter val="Bounou Ikram"/>
        <filter val="Hami Reda"/>
        <filter val="Ghazali Mehdi"/>
        <filter val="Lahlou Sara"/>
        <filter val="El Khatib Meriem"/>
        <filter val="Kouhen Lina"/>
        <filter val="Zayani Rania"/>
      </filters>
    </filterColumn>
  </autoFilter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39.57"/>
    <col customWidth="1" min="3" max="6" width="14.43"/>
    <col customWidth="1" min="8" max="8" width="25.57"/>
  </cols>
  <sheetData>
    <row r="1"/>
    <row r="2"/>
    <row r="3"/>
    <row r="4"/>
    <row r="5"/>
    <row r="6"/>
    <row r="7"/>
    <row r="2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>
      <c r="G40" s="1" t="s">
        <v>0</v>
      </c>
      <c r="H40" s="12" t="s">
        <v>1</v>
      </c>
      <c r="I40" s="12" t="s">
        <v>2</v>
      </c>
      <c r="J40" s="12" t="s">
        <v>3</v>
      </c>
      <c r="K40" s="12" t="s">
        <v>4</v>
      </c>
      <c r="L40" s="12" t="s">
        <v>5</v>
      </c>
      <c r="M40" s="12" t="s">
        <v>6</v>
      </c>
      <c r="N40" s="1" t="s">
        <v>7</v>
      </c>
      <c r="O40" s="1" t="s">
        <v>8</v>
      </c>
      <c r="P40" s="1" t="s">
        <v>9</v>
      </c>
      <c r="Q40" s="1" t="s">
        <v>10</v>
      </c>
      <c r="R40" s="1" t="s">
        <v>11</v>
      </c>
      <c r="S40" s="1" t="s">
        <v>12</v>
      </c>
      <c r="T40" s="1" t="s">
        <v>13</v>
      </c>
      <c r="U40" s="1" t="s">
        <v>14</v>
      </c>
      <c r="V40" s="1" t="s">
        <v>15</v>
      </c>
      <c r="W40" s="1" t="s">
        <v>16</v>
      </c>
      <c r="X40" s="1" t="s">
        <v>17</v>
      </c>
      <c r="Y40" s="1" t="s">
        <v>169</v>
      </c>
      <c r="Z40" s="1" t="s">
        <v>18</v>
      </c>
    </row>
    <row r="41" ht="15.75" customHeight="1">
      <c r="G41" s="4">
        <v>3.0</v>
      </c>
      <c r="H41" s="8" t="s">
        <v>33</v>
      </c>
      <c r="I41" s="8" t="s">
        <v>34</v>
      </c>
      <c r="J41" s="8" t="s">
        <v>35</v>
      </c>
      <c r="K41" s="8" t="s">
        <v>36</v>
      </c>
      <c r="L41" s="8" t="s">
        <v>37</v>
      </c>
      <c r="M41" s="8" t="s">
        <v>38</v>
      </c>
      <c r="N41" s="4">
        <v>2013.0</v>
      </c>
      <c r="O41" s="4">
        <v>99000.0</v>
      </c>
      <c r="P41" s="4" t="s">
        <v>39</v>
      </c>
      <c r="Q41" s="6">
        <v>45661.0</v>
      </c>
      <c r="R41" s="4">
        <v>12.0</v>
      </c>
      <c r="S41" s="4">
        <v>1680.0</v>
      </c>
      <c r="T41" s="4">
        <f t="shared" ref="T41:T45" si="1">IF(L41="Moto",5%,IF(L41="Voiture",3%,IF(L41="Camion",6%,0)))</f>
        <v>0.03</v>
      </c>
      <c r="U41" s="4">
        <f t="shared" ref="U41:U45" si="2">O41*T41</f>
        <v>2970</v>
      </c>
      <c r="V41" s="4">
        <f t="shared" ref="V41:V45" si="3">S41+U41</f>
        <v>4650</v>
      </c>
      <c r="W41" s="4" t="str">
        <f t="shared" ref="W41:W45" si="4">IF(V41&lt;2000,"Standard",IF(V41&lt;5000,"Premium","VIP"))</f>
        <v>Premium</v>
      </c>
      <c r="X41" s="14" t="str">
        <f t="shared" ref="X41:X45" si="5">RANK(V41,$P$2:$P$41,0)</f>
        <v>#N/A</v>
      </c>
      <c r="Y41" s="10">
        <v>1.0</v>
      </c>
      <c r="Z41" s="10" t="str">
        <f t="shared" ref="Z41:Z45" si="6">H41&amp;" "&amp;I41</f>
        <v>Benali Ahmed</v>
      </c>
    </row>
    <row r="42" ht="15.75" customHeight="1">
      <c r="G42" s="4">
        <v>7.0</v>
      </c>
      <c r="H42" s="8" t="s">
        <v>56</v>
      </c>
      <c r="I42" s="8" t="s">
        <v>57</v>
      </c>
      <c r="J42" s="8" t="s">
        <v>58</v>
      </c>
      <c r="K42" s="8" t="s">
        <v>36</v>
      </c>
      <c r="L42" s="8" t="s">
        <v>23</v>
      </c>
      <c r="M42" s="8" t="s">
        <v>24</v>
      </c>
      <c r="N42" s="4">
        <v>2017.0</v>
      </c>
      <c r="O42" s="4">
        <v>111000.0</v>
      </c>
      <c r="P42" s="4" t="s">
        <v>25</v>
      </c>
      <c r="Q42" s="6">
        <v>45665.0</v>
      </c>
      <c r="R42" s="4">
        <v>12.0</v>
      </c>
      <c r="S42" s="4">
        <v>1920.0</v>
      </c>
      <c r="T42" s="4">
        <f t="shared" si="1"/>
        <v>0.05</v>
      </c>
      <c r="U42" s="4">
        <f t="shared" si="2"/>
        <v>5550</v>
      </c>
      <c r="V42" s="4">
        <f t="shared" si="3"/>
        <v>7470</v>
      </c>
      <c r="W42" s="4" t="str">
        <f t="shared" si="4"/>
        <v>VIP</v>
      </c>
      <c r="X42" s="14" t="str">
        <f t="shared" si="5"/>
        <v>#N/A</v>
      </c>
      <c r="Y42" s="10">
        <v>2.0</v>
      </c>
      <c r="Z42" s="10" t="str">
        <f t="shared" si="6"/>
        <v>Bennani Omar</v>
      </c>
    </row>
    <row r="43" ht="15.75" customHeight="1">
      <c r="G43" s="4">
        <v>24.0</v>
      </c>
      <c r="H43" s="8" t="s">
        <v>111</v>
      </c>
      <c r="I43" s="8" t="s">
        <v>112</v>
      </c>
      <c r="J43" s="8" t="s">
        <v>113</v>
      </c>
      <c r="K43" s="8" t="s">
        <v>43</v>
      </c>
      <c r="L43" s="8" t="s">
        <v>37</v>
      </c>
      <c r="M43" s="8" t="s">
        <v>55</v>
      </c>
      <c r="N43" s="4">
        <v>2020.0</v>
      </c>
      <c r="O43" s="4">
        <v>162000.0</v>
      </c>
      <c r="P43" s="4" t="s">
        <v>39</v>
      </c>
      <c r="Q43" s="6">
        <v>45682.0</v>
      </c>
      <c r="R43" s="4">
        <v>12.0</v>
      </c>
      <c r="S43" s="4">
        <v>2940.0</v>
      </c>
      <c r="T43" s="4">
        <f t="shared" si="1"/>
        <v>0.03</v>
      </c>
      <c r="U43" s="4">
        <f t="shared" si="2"/>
        <v>4860</v>
      </c>
      <c r="V43" s="4">
        <f t="shared" si="3"/>
        <v>7800</v>
      </c>
      <c r="W43" s="4" t="str">
        <f t="shared" si="4"/>
        <v>VIP</v>
      </c>
      <c r="X43" s="14" t="str">
        <f t="shared" si="5"/>
        <v>#N/A</v>
      </c>
      <c r="Y43" s="10">
        <v>3.0</v>
      </c>
      <c r="Z43" s="10" t="str">
        <f t="shared" si="6"/>
        <v>Benkirane Samir</v>
      </c>
    </row>
    <row r="44" ht="15.75" customHeight="1">
      <c r="G44" s="4">
        <v>34.0</v>
      </c>
      <c r="H44" s="8" t="s">
        <v>141</v>
      </c>
      <c r="I44" s="8" t="s">
        <v>142</v>
      </c>
      <c r="J44" s="8" t="s">
        <v>143</v>
      </c>
      <c r="K44" s="8" t="s">
        <v>49</v>
      </c>
      <c r="L44" s="8" t="s">
        <v>23</v>
      </c>
      <c r="M44" s="8" t="s">
        <v>44</v>
      </c>
      <c r="N44" s="4">
        <v>2016.0</v>
      </c>
      <c r="O44" s="4">
        <v>192000.0</v>
      </c>
      <c r="P44" s="4" t="s">
        <v>25</v>
      </c>
      <c r="Q44" s="6">
        <v>45664.0</v>
      </c>
      <c r="R44" s="4">
        <v>12.0</v>
      </c>
      <c r="S44" s="4">
        <v>3540.0</v>
      </c>
      <c r="T44" s="4">
        <f t="shared" si="1"/>
        <v>0.05</v>
      </c>
      <c r="U44" s="4">
        <f t="shared" si="2"/>
        <v>9600</v>
      </c>
      <c r="V44" s="4">
        <f t="shared" si="3"/>
        <v>13140</v>
      </c>
      <c r="W44" s="4" t="str">
        <f t="shared" si="4"/>
        <v>VIP</v>
      </c>
      <c r="X44" s="14" t="str">
        <f t="shared" si="5"/>
        <v>#N/A</v>
      </c>
      <c r="Y44" s="10">
        <v>4.0</v>
      </c>
      <c r="Z44" s="10" t="str">
        <f t="shared" si="6"/>
        <v>Belaid Yassir</v>
      </c>
    </row>
    <row r="45" ht="15.75" customHeight="1">
      <c r="G45" s="4">
        <v>39.0</v>
      </c>
      <c r="H45" s="8" t="s">
        <v>156</v>
      </c>
      <c r="I45" s="8" t="s">
        <v>157</v>
      </c>
      <c r="J45" s="8" t="s">
        <v>158</v>
      </c>
      <c r="K45" s="8" t="s">
        <v>49</v>
      </c>
      <c r="L45" s="8" t="s">
        <v>37</v>
      </c>
      <c r="M45" s="8" t="s">
        <v>38</v>
      </c>
      <c r="N45" s="4">
        <v>2021.0</v>
      </c>
      <c r="O45" s="4">
        <v>207000.0</v>
      </c>
      <c r="P45" s="4" t="s">
        <v>39</v>
      </c>
      <c r="Q45" s="6">
        <v>45669.0</v>
      </c>
      <c r="R45" s="4">
        <v>12.0</v>
      </c>
      <c r="S45" s="4">
        <v>3840.0</v>
      </c>
      <c r="T45" s="4">
        <f t="shared" si="1"/>
        <v>0.03</v>
      </c>
      <c r="U45" s="4">
        <f t="shared" si="2"/>
        <v>6210</v>
      </c>
      <c r="V45" s="4">
        <f t="shared" si="3"/>
        <v>10050</v>
      </c>
      <c r="W45" s="4" t="str">
        <f t="shared" si="4"/>
        <v>VIP</v>
      </c>
      <c r="X45" s="14" t="str">
        <f t="shared" si="5"/>
        <v>#N/A</v>
      </c>
      <c r="Y45" s="10">
        <v>5.0</v>
      </c>
      <c r="Z45" s="10" t="str">
        <f t="shared" si="6"/>
        <v>Benchekroun Adil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6"/>
</worksheet>
</file>